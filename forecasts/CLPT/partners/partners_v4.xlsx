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p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Steady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 (procedures, 100% approval)</t>
        </is>
      </c>
      <c r="B1" t="inlineStr">
        <is>
          <t>FY2027E</t>
        </is>
      </c>
      <c r="C1" t="inlineStr">
        <is>
          <t>FY2028E</t>
        </is>
      </c>
      <c r="D1" t="inlineStr">
        <is>
          <t>FY2029E</t>
        </is>
      </c>
      <c r="E1" t="inlineStr">
        <is>
          <t>FY2030E</t>
        </is>
      </c>
      <c r="F1" t="inlineStr">
        <is>
          <t>FY2031E</t>
        </is>
      </c>
      <c r="G1" t="inlineStr">
        <is>
          <t>FY2032E</t>
        </is>
      </c>
      <c r="H1" t="inlineStr">
        <is>
          <t>FY2033E</t>
        </is>
      </c>
      <c r="I1" t="inlineStr">
        <is>
          <t>FY2034E</t>
        </is>
      </c>
      <c r="J1" t="inlineStr">
        <is>
          <t>FY2035E</t>
        </is>
      </c>
      <c r="K1" t="inlineStr">
        <is>
          <t>FY2036E</t>
        </is>
      </c>
      <c r="L1" t="inlineStr">
        <is>
          <t>FY2037E</t>
        </is>
      </c>
      <c r="M1" t="inlineStr">
        <is>
          <t>FY2038E</t>
        </is>
      </c>
      <c r="N1" t="inlineStr">
        <is>
          <t>FY2039E</t>
        </is>
      </c>
      <c r="O1" t="inlineStr">
        <is>
          <t>FY2040E</t>
        </is>
      </c>
    </row>
    <row r="2">
      <c r="A2" t="inlineStr">
        <is>
          <t>BRT-DA01</t>
        </is>
      </c>
      <c r="B2" t="n">
        <v>0</v>
      </c>
      <c r="C2" t="n">
        <v>0</v>
      </c>
      <c r="D2" t="n">
        <v>330</v>
      </c>
      <c r="E2" t="n">
        <v>2500</v>
      </c>
      <c r="F2" t="n">
        <v>4500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5000</v>
      </c>
      <c r="O2" t="n">
        <v>5000</v>
      </c>
    </row>
    <row r="3">
      <c r="A3" t="inlineStr">
        <is>
          <t>AMT-130</t>
        </is>
      </c>
      <c r="B3" t="n">
        <v>330</v>
      </c>
      <c r="C3" t="n">
        <v>2500</v>
      </c>
      <c r="D3" t="n">
        <v>3170</v>
      </c>
      <c r="E3" t="n">
        <v>3000</v>
      </c>
      <c r="F3" t="n">
        <v>3000</v>
      </c>
      <c r="G3" t="n">
        <v>3000</v>
      </c>
      <c r="H3" t="n">
        <v>3000</v>
      </c>
      <c r="I3" t="n">
        <v>3000</v>
      </c>
      <c r="J3" t="n">
        <v>3000</v>
      </c>
      <c r="K3" t="n">
        <v>3000</v>
      </c>
      <c r="L3" t="n">
        <v>3000</v>
      </c>
      <c r="M3" t="n">
        <v>3000</v>
      </c>
      <c r="N3" t="n">
        <v>3000</v>
      </c>
      <c r="O3" t="n">
        <v>3000</v>
      </c>
    </row>
    <row r="4">
      <c r="A4" t="inlineStr">
        <is>
          <t>NRTX-1001</t>
        </is>
      </c>
      <c r="B4" t="n">
        <v>0</v>
      </c>
      <c r="C4" t="n">
        <v>0</v>
      </c>
      <c r="D4" t="n">
        <v>0</v>
      </c>
      <c r="E4" t="n">
        <v>300</v>
      </c>
      <c r="F4" t="n">
        <v>1200</v>
      </c>
      <c r="G4" t="n">
        <v>2200</v>
      </c>
      <c r="H4" t="n">
        <v>3200</v>
      </c>
      <c r="I4" t="n">
        <v>3200</v>
      </c>
      <c r="J4" t="n">
        <v>3200</v>
      </c>
      <c r="K4" t="n">
        <v>3200</v>
      </c>
      <c r="L4" t="n">
        <v>3200</v>
      </c>
      <c r="M4" t="n">
        <v>3200</v>
      </c>
      <c r="N4" t="n">
        <v>3200</v>
      </c>
      <c r="O4" t="n">
        <v>3200</v>
      </c>
    </row>
    <row r="5">
      <c r="A5" t="inlineStr">
        <is>
          <t>AVB-101</t>
        </is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25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</row>
    <row r="6">
      <c r="A6" t="inlineStr">
        <is>
          <t>KEBILIDI</t>
        </is>
      </c>
      <c r="B6" t="n">
        <v>12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</row>
    <row r="7">
      <c r="A7" t="inlineStr">
        <is>
          <t>RGX-121</t>
        </is>
      </c>
      <c r="B7" t="n">
        <v>0</v>
      </c>
      <c r="C7" t="n">
        <v>0</v>
      </c>
      <c r="D7" t="n">
        <v>1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</row>
    <row r="8">
      <c r="A8" t="inlineStr">
        <is>
          <t>SRN-101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</v>
      </c>
      <c r="J8" t="n">
        <v>300</v>
      </c>
      <c r="K8" t="n">
        <v>530</v>
      </c>
      <c r="L8" t="n">
        <v>530</v>
      </c>
      <c r="M8" t="n">
        <v>530</v>
      </c>
      <c r="N8" t="n">
        <v>530</v>
      </c>
      <c r="O8" t="n">
        <v>530</v>
      </c>
    </row>
    <row r="9">
      <c r="A9" t="inlineStr">
        <is>
          <t>AB-1005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300</v>
      </c>
      <c r="I9" t="n">
        <v>1200</v>
      </c>
      <c r="J9" t="n">
        <v>2200</v>
      </c>
      <c r="K9" t="n">
        <v>2200</v>
      </c>
      <c r="L9" t="n">
        <v>2200</v>
      </c>
      <c r="M9" t="n">
        <v>2200</v>
      </c>
      <c r="N9" t="n">
        <v>2200</v>
      </c>
      <c r="O9" t="n">
        <v>2200</v>
      </c>
    </row>
    <row r="10">
      <c r="A10" t="inlineStr">
        <is>
          <t>ANPD001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200</v>
      </c>
      <c r="J10" t="n">
        <v>600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</row>
    <row r="11">
      <c r="A11" t="inlineStr">
        <is>
          <t>RNDP-001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200</v>
      </c>
      <c r="J11" t="n">
        <v>600</v>
      </c>
      <c r="K11" t="n">
        <v>1000</v>
      </c>
      <c r="L11" t="n">
        <v>1000</v>
      </c>
      <c r="M11" t="n">
        <v>1000</v>
      </c>
      <c r="N11" t="n">
        <v>1000</v>
      </c>
      <c r="O11" t="n">
        <v>1000</v>
      </c>
    </row>
    <row r="12">
      <c r="A12" t="inlineStr">
        <is>
          <t>PD one-time class demand (not summed)</t>
        </is>
      </c>
      <c r="B12" t="n">
        <v>0</v>
      </c>
      <c r="C12" t="n">
        <v>0</v>
      </c>
      <c r="D12" t="n">
        <v>11756</v>
      </c>
      <c r="E12" t="n">
        <v>11391</v>
      </c>
      <c r="F12" t="n">
        <v>11126</v>
      </c>
      <c r="G12" t="n">
        <v>10945</v>
      </c>
      <c r="H12" t="n">
        <v>10837</v>
      </c>
      <c r="I12" t="n">
        <v>10792</v>
      </c>
      <c r="J12" t="n">
        <v>10801</v>
      </c>
      <c r="K12" t="n">
        <v>10858</v>
      </c>
      <c r="L12" t="n">
        <v>10956</v>
      </c>
      <c r="M12" t="n">
        <v>11091</v>
      </c>
      <c r="N12" t="n">
        <v>11258</v>
      </c>
      <c r="O12" t="n">
        <v>11454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</t>
        </is>
      </c>
      <c r="B1" t="inlineStr">
        <is>
          <t>FY2027E</t>
        </is>
      </c>
      <c r="C1" t="inlineStr">
        <is>
          <t>FY2028E</t>
        </is>
      </c>
      <c r="D1" t="inlineStr">
        <is>
          <t>FY2029E</t>
        </is>
      </c>
      <c r="E1" t="inlineStr">
        <is>
          <t>FY2030E</t>
        </is>
      </c>
      <c r="F1" t="inlineStr">
        <is>
          <t>FY2031E</t>
        </is>
      </c>
      <c r="G1" t="inlineStr">
        <is>
          <t>FY2032E</t>
        </is>
      </c>
      <c r="H1" t="inlineStr">
        <is>
          <t>FY2033E</t>
        </is>
      </c>
      <c r="I1" t="inlineStr">
        <is>
          <t>FY2034E</t>
        </is>
      </c>
      <c r="J1" t="inlineStr">
        <is>
          <t>FY2035E</t>
        </is>
      </c>
      <c r="K1" t="inlineStr">
        <is>
          <t>FY2036E</t>
        </is>
      </c>
      <c r="L1" t="inlineStr">
        <is>
          <t>FY2037E</t>
        </is>
      </c>
      <c r="M1" t="inlineStr">
        <is>
          <t>FY2038E</t>
        </is>
      </c>
      <c r="N1" t="inlineStr">
        <is>
          <t>FY2039E</t>
        </is>
      </c>
      <c r="O1" t="inlineStr">
        <is>
          <t>FY2040E</t>
        </is>
      </c>
      <c r="P1" t="inlineStr">
        <is>
          <t>Price US$M</t>
        </is>
      </c>
      <c r="Q1" t="n">
        <v>0.02</v>
      </c>
    </row>
    <row r="2">
      <c r="A2" s="1" t="n">
        <v>1</v>
      </c>
      <c r="B2">
        <f>ROUND(((SUM(Ramp!B2:B11)-Ramp!B6)*$A2+Ramp!B6)*$Q$1,1)</f>
        <v/>
      </c>
      <c r="C2">
        <f>ROUND(((SUM(Ramp!C2:C11)-Ramp!C6)*$A2+Ramp!C6)*$Q$1,1)</f>
        <v/>
      </c>
      <c r="D2">
        <f>ROUND(((SUM(Ramp!D2:D11)-Ramp!D6)*$A2+Ramp!D6)*$Q$1,1)</f>
        <v/>
      </c>
      <c r="E2">
        <f>ROUND(((SUM(Ramp!E2:E11)-Ramp!E6)*$A2+Ramp!E6)*$Q$1,1)</f>
        <v/>
      </c>
      <c r="F2">
        <f>ROUND(((SUM(Ramp!F2:F11)-Ramp!F6)*$A2+Ramp!F6)*$Q$1,1)</f>
        <v/>
      </c>
      <c r="G2">
        <f>ROUND(((SUM(Ramp!G2:G11)-Ramp!G6)*$A2+Ramp!G6)*$Q$1,1)</f>
        <v/>
      </c>
      <c r="H2">
        <f>ROUND(((SUM(Ramp!H2:H11)-Ramp!H6)*$A2+Ramp!H6)*$Q$1,1)</f>
        <v/>
      </c>
      <c r="I2">
        <f>ROUND(((SUM(Ramp!I2:I11)-Ramp!I6)*$A2+Ramp!I6)*$Q$1,1)</f>
        <v/>
      </c>
      <c r="J2">
        <f>ROUND(((SUM(Ramp!J2:J11)-Ramp!J6)*$A2+Ramp!J6)*$Q$1,1)</f>
        <v/>
      </c>
      <c r="K2">
        <f>ROUND(((SUM(Ramp!K2:K11)-Ramp!K6)*$A2+Ramp!K6)*$Q$1,1)</f>
        <v/>
      </c>
      <c r="L2">
        <f>ROUND(((SUM(Ramp!L2:L11)-Ramp!L6)*$A2+Ramp!L6)*$Q$1,1)</f>
        <v/>
      </c>
      <c r="M2">
        <f>ROUND(((SUM(Ramp!M2:M11)-Ramp!M6)*$A2+Ramp!M6)*$Q$1,1)</f>
        <v/>
      </c>
      <c r="N2">
        <f>ROUND(((SUM(Ramp!N2:N11)-Ramp!N6)*$A2+Ramp!N6)*$Q$1,1)</f>
        <v/>
      </c>
      <c r="O2">
        <f>ROUND(((SUM(Ramp!O2:O11)-Ramp!O6)*$A2+Ramp!O6)*$Q$1,1)</f>
        <v/>
      </c>
    </row>
    <row r="3">
      <c r="A3" s="1" t="n">
        <v>0.7</v>
      </c>
      <c r="B3">
        <f>ROUND(((SUM(Ramp!B2:B11)-Ramp!B6)*$A3+Ramp!B6)*$Q$1,1)</f>
        <v/>
      </c>
      <c r="C3">
        <f>ROUND(((SUM(Ramp!C2:C11)-Ramp!C6)*$A3+Ramp!C6)*$Q$1,1)</f>
        <v/>
      </c>
      <c r="D3">
        <f>ROUND(((SUM(Ramp!D2:D11)-Ramp!D6)*$A3+Ramp!D6)*$Q$1,1)</f>
        <v/>
      </c>
      <c r="E3">
        <f>ROUND(((SUM(Ramp!E2:E11)-Ramp!E6)*$A3+Ramp!E6)*$Q$1,1)</f>
        <v/>
      </c>
      <c r="F3">
        <f>ROUND(((SUM(Ramp!F2:F11)-Ramp!F6)*$A3+Ramp!F6)*$Q$1,1)</f>
        <v/>
      </c>
      <c r="G3">
        <f>ROUND(((SUM(Ramp!G2:G11)-Ramp!G6)*$A3+Ramp!G6)*$Q$1,1)</f>
        <v/>
      </c>
      <c r="H3">
        <f>ROUND(((SUM(Ramp!H2:H11)-Ramp!H6)*$A3+Ramp!H6)*$Q$1,1)</f>
        <v/>
      </c>
      <c r="I3">
        <f>ROUND(((SUM(Ramp!I2:I11)-Ramp!I6)*$A3+Ramp!I6)*$Q$1,1)</f>
        <v/>
      </c>
      <c r="J3">
        <f>ROUND(((SUM(Ramp!J2:J11)-Ramp!J6)*$A3+Ramp!J6)*$Q$1,1)</f>
        <v/>
      </c>
      <c r="K3">
        <f>ROUND(((SUM(Ramp!K2:K11)-Ramp!K6)*$A3+Ramp!K6)*$Q$1,1)</f>
        <v/>
      </c>
      <c r="L3">
        <f>ROUND(((SUM(Ramp!L2:L11)-Ramp!L6)*$A3+Ramp!L6)*$Q$1,1)</f>
        <v/>
      </c>
      <c r="M3">
        <f>ROUND(((SUM(Ramp!M2:M11)-Ramp!M6)*$A3+Ramp!M6)*$Q$1,1)</f>
        <v/>
      </c>
      <c r="N3">
        <f>ROUND(((SUM(Ramp!N2:N11)-Ramp!N6)*$A3+Ramp!N6)*$Q$1,1)</f>
        <v/>
      </c>
      <c r="O3">
        <f>ROUND(((SUM(Ramp!O2:O11)-Ramp!O6)*$A3+Ramp!O6)*$Q$1,1)</f>
        <v/>
      </c>
    </row>
    <row r="4">
      <c r="A4" s="1" t="n">
        <v>0.5</v>
      </c>
      <c r="B4">
        <f>ROUND(((SUM(Ramp!B2:B11)-Ramp!B6)*$A4+Ramp!B6)*$Q$1,1)</f>
        <v/>
      </c>
      <c r="C4">
        <f>ROUND(((SUM(Ramp!C2:C11)-Ramp!C6)*$A4+Ramp!C6)*$Q$1,1)</f>
        <v/>
      </c>
      <c r="D4">
        <f>ROUND(((SUM(Ramp!D2:D11)-Ramp!D6)*$A4+Ramp!D6)*$Q$1,1)</f>
        <v/>
      </c>
      <c r="E4">
        <f>ROUND(((SUM(Ramp!E2:E11)-Ramp!E6)*$A4+Ramp!E6)*$Q$1,1)</f>
        <v/>
      </c>
      <c r="F4">
        <f>ROUND(((SUM(Ramp!F2:F11)-Ramp!F6)*$A4+Ramp!F6)*$Q$1,1)</f>
        <v/>
      </c>
      <c r="G4">
        <f>ROUND(((SUM(Ramp!G2:G11)-Ramp!G6)*$A4+Ramp!G6)*$Q$1,1)</f>
        <v/>
      </c>
      <c r="H4">
        <f>ROUND(((SUM(Ramp!H2:H11)-Ramp!H6)*$A4+Ramp!H6)*$Q$1,1)</f>
        <v/>
      </c>
      <c r="I4">
        <f>ROUND(((SUM(Ramp!I2:I11)-Ramp!I6)*$A4+Ramp!I6)*$Q$1,1)</f>
        <v/>
      </c>
      <c r="J4">
        <f>ROUND(((SUM(Ramp!J2:J11)-Ramp!J6)*$A4+Ramp!J6)*$Q$1,1)</f>
        <v/>
      </c>
      <c r="K4">
        <f>ROUND(((SUM(Ramp!K2:K11)-Ramp!K6)*$A4+Ramp!K6)*$Q$1,1)</f>
        <v/>
      </c>
      <c r="L4">
        <f>ROUND(((SUM(Ramp!L2:L11)-Ramp!L6)*$A4+Ramp!L6)*$Q$1,1)</f>
        <v/>
      </c>
      <c r="M4">
        <f>ROUND(((SUM(Ramp!M2:M11)-Ramp!M6)*$A4+Ramp!M6)*$Q$1,1)</f>
        <v/>
      </c>
      <c r="N4">
        <f>ROUND(((SUM(Ramp!N2:N11)-Ramp!N6)*$A4+Ramp!N6)*$Q$1,1)</f>
        <v/>
      </c>
      <c r="O4">
        <f>ROUND(((SUM(Ramp!O2:O11)-Ramp!O6)*$A4+Ramp!O6)*$Q$1,1)</f>
        <v/>
      </c>
    </row>
    <row r="5">
      <c r="A5" s="1" t="n">
        <v>0.3</v>
      </c>
      <c r="B5">
        <f>ROUND(((SUM(Ramp!B2:B11)-Ramp!B6)*$A5+Ramp!B6)*$Q$1,1)</f>
        <v/>
      </c>
      <c r="C5">
        <f>ROUND(((SUM(Ramp!C2:C11)-Ramp!C6)*$A5+Ramp!C6)*$Q$1,1)</f>
        <v/>
      </c>
      <c r="D5">
        <f>ROUND(((SUM(Ramp!D2:D11)-Ramp!D6)*$A5+Ramp!D6)*$Q$1,1)</f>
        <v/>
      </c>
      <c r="E5">
        <f>ROUND(((SUM(Ramp!E2:E11)-Ramp!E6)*$A5+Ramp!E6)*$Q$1,1)</f>
        <v/>
      </c>
      <c r="F5">
        <f>ROUND(((SUM(Ramp!F2:F11)-Ramp!F6)*$A5+Ramp!F6)*$Q$1,1)</f>
        <v/>
      </c>
      <c r="G5">
        <f>ROUND(((SUM(Ramp!G2:G11)-Ramp!G6)*$A5+Ramp!G6)*$Q$1,1)</f>
        <v/>
      </c>
      <c r="H5">
        <f>ROUND(((SUM(Ramp!H2:H11)-Ramp!H6)*$A5+Ramp!H6)*$Q$1,1)</f>
        <v/>
      </c>
      <c r="I5">
        <f>ROUND(((SUM(Ramp!I2:I11)-Ramp!I6)*$A5+Ramp!I6)*$Q$1,1)</f>
        <v/>
      </c>
      <c r="J5">
        <f>ROUND(((SUM(Ramp!J2:J11)-Ramp!J6)*$A5+Ramp!J6)*$Q$1,1)</f>
        <v/>
      </c>
      <c r="K5">
        <f>ROUND(((SUM(Ramp!K2:K11)-Ramp!K6)*$A5+Ramp!K6)*$Q$1,1)</f>
        <v/>
      </c>
      <c r="L5">
        <f>ROUND(((SUM(Ramp!L2:L11)-Ramp!L6)*$A5+Ramp!L6)*$Q$1,1)</f>
        <v/>
      </c>
      <c r="M5">
        <f>ROUND(((SUM(Ramp!M2:M11)-Ramp!M6)*$A5+Ramp!M6)*$Q$1,1)</f>
        <v/>
      </c>
      <c r="N5">
        <f>ROUND(((SUM(Ramp!N2:N11)-Ramp!N6)*$A5+Ramp!N6)*$Q$1,1)</f>
        <v/>
      </c>
      <c r="O5">
        <f>ROUND(((SUM(Ramp!O2:O11)-Ramp!O6)*$A5+Ramp!O6)*$Q$1,1)</f>
        <v/>
      </c>
    </row>
    <row r="7">
      <c r="A7" t="inlineStr">
        <is>
          <t>KEBILIDI (approved) held at 100%; PD rows = min(ramp, share of class demand less BRT-DA01), split 52/24/24.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</t>
        </is>
      </c>
      <c r="B1" t="inlineStr">
        <is>
          <t>Patients/yr FY2040</t>
        </is>
      </c>
      <c r="C1" t="inlineStr">
        <is>
          <t>US$M at $20k</t>
        </is>
      </c>
    </row>
    <row r="2">
      <c r="A2" t="inlineStr">
        <is>
          <t>BRT-DA01</t>
        </is>
      </c>
      <c r="B2">
        <f>Ramp!O2</f>
        <v/>
      </c>
      <c r="C2">
        <f>B2*Revenue!$Q$1</f>
        <v/>
      </c>
    </row>
    <row r="3">
      <c r="A3" t="inlineStr">
        <is>
          <t>AMT-130</t>
        </is>
      </c>
      <c r="B3">
        <f>Ramp!O3</f>
        <v/>
      </c>
      <c r="C3">
        <f>B3*Revenue!$Q$1</f>
        <v/>
      </c>
    </row>
    <row r="4">
      <c r="A4" t="inlineStr">
        <is>
          <t>NRTX-1001</t>
        </is>
      </c>
      <c r="B4">
        <f>Ramp!O4</f>
        <v/>
      </c>
      <c r="C4">
        <f>B4*Revenue!$Q$1</f>
        <v/>
      </c>
    </row>
    <row r="5">
      <c r="A5" t="inlineStr">
        <is>
          <t>AVB-101</t>
        </is>
      </c>
      <c r="B5">
        <f>Ramp!O5</f>
        <v/>
      </c>
      <c r="C5">
        <f>B5*Revenue!$Q$1</f>
        <v/>
      </c>
    </row>
    <row r="6">
      <c r="A6" t="inlineStr">
        <is>
          <t>KEBILIDI</t>
        </is>
      </c>
      <c r="B6">
        <f>Ramp!O6</f>
        <v/>
      </c>
      <c r="C6">
        <f>B6*Revenue!$Q$1</f>
        <v/>
      </c>
    </row>
    <row r="7">
      <c r="A7" t="inlineStr">
        <is>
          <t>RGX-121</t>
        </is>
      </c>
      <c r="B7">
        <f>Ramp!O7</f>
        <v/>
      </c>
      <c r="C7">
        <f>B7*Revenue!$Q$1</f>
        <v/>
      </c>
    </row>
    <row r="8">
      <c r="A8" t="inlineStr">
        <is>
          <t>SRN-101</t>
        </is>
      </c>
      <c r="B8">
        <f>Ramp!O8</f>
        <v/>
      </c>
      <c r="C8">
        <f>B8*Revenue!$Q$1</f>
        <v/>
      </c>
    </row>
    <row r="9">
      <c r="A9" t="inlineStr">
        <is>
          <t>AB-1005</t>
        </is>
      </c>
      <c r="B9">
        <f>Ramp!O9</f>
        <v/>
      </c>
      <c r="C9">
        <f>B9*Revenue!$Q$1</f>
        <v/>
      </c>
    </row>
    <row r="10">
      <c r="A10" t="inlineStr">
        <is>
          <t>ANPD001</t>
        </is>
      </c>
      <c r="B10">
        <f>Ramp!O10</f>
        <v/>
      </c>
      <c r="C10">
        <f>B10*Revenue!$Q$1</f>
        <v/>
      </c>
    </row>
    <row r="11">
      <c r="A11" t="inlineStr">
        <is>
          <t>RNDP-001</t>
        </is>
      </c>
      <c r="B11">
        <f>Ramp!O11</f>
        <v/>
      </c>
      <c r="C11">
        <f>B11*Revenue!$Q$1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2026-10-25T16:15:59Z</dcterms:created>
  <dcterms:modified xmlns:dcterms="http://purl.org/dc/terms/" xmlns:xsi="http://www.w3.org/2001/XMLSchema-instance" xsi:type="dcterms:W3CDTF">2026-10-25T16:15:59Z</dcterms:modified>
</cp:coreProperties>
</file>