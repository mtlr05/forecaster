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hort" sheetId="3" state="visible" r:id="rId3"/>
    <sheet xmlns:r="http://schemas.openxmlformats.org/officeDocument/2006/relationships" name="Scenarios" sheetId="4" state="visible" r:id="rId4"/>
    <sheet xmlns:r="http://schemas.openxmlformats.org/officeDocument/2006/relationships" name="Flow 5%" sheetId="5" state="visible" r:id="rId5"/>
    <sheet xmlns:r="http://schemas.openxmlformats.org/officeDocument/2006/relationships" name="Flow 8%" sheetId="6" state="visible" r:id="rId6"/>
    <sheet xmlns:r="http://schemas.openxmlformats.org/officeDocument/2006/relationships" name="Flow 10%" sheetId="7" state="visible" r:id="rId7"/>
    <sheet xmlns:r="http://schemas.openxmlformats.org/officeDocument/2006/relationships" name="Flow 15%" sheetId="8" state="visible" r:id="rId8"/>
    <sheet xmlns:r="http://schemas.openxmlformats.org/officeDocument/2006/relationships" name="Age-band funnel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2" customWidth="1" min="3" max="3"/>
    <col width="10" customWidth="1" min="4" max="4"/>
    <col width="9" customWidth="1" min="5" max="5"/>
    <col width="70" customWidth="1" min="6" max="6"/>
    <col width="55" customWidth="1" min="7" max="7"/>
  </cols>
  <sheetData>
    <row r="1">
      <c r="A1" s="1" t="inlineStr">
        <is>
          <t>Key</t>
        </is>
      </c>
      <c r="B1" s="1" t="inlineStr">
        <is>
          <t>Input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Tag</t>
        </is>
      </c>
      <c r="F1" s="1" t="inlineStr">
        <is>
          <t>Source / note</t>
        </is>
      </c>
      <c r="G1" s="1" t="inlineStr">
        <is>
          <t>Link</t>
        </is>
      </c>
    </row>
    <row r="2">
      <c r="A2" t="inlineStr">
        <is>
          <t>inc</t>
        </is>
      </c>
      <c r="B2" t="inlineStr">
        <is>
          <t>US PD diagnoses per year (FY2024)</t>
        </is>
      </c>
      <c r="C2" s="2" t="n">
        <v>90000</v>
      </c>
      <c r="D2" t="inlineStr">
        <is>
          <t>patients</t>
        </is>
      </c>
      <c r="E2" t="inlineStr">
        <is>
          <t>A1</t>
        </is>
      </c>
      <c r="F2" t="inlineStr">
        <is>
          <t>Parkinson's Foundation</t>
        </is>
      </c>
      <c r="G2" t="inlineStr">
        <is>
          <t>https://www.parkinson.org/understanding-parkinsons/statistics/prevalence-incidence</t>
        </is>
      </c>
    </row>
    <row r="3">
      <c r="A3" t="inlineStr">
        <is>
          <t>mr</t>
        </is>
      </c>
      <c r="B3" t="inlineStr">
        <is>
          <t>Mortality ratio vs general population</t>
        </is>
      </c>
      <c r="C3" s="2" t="n">
        <v>1.52</v>
      </c>
      <c r="D3" t="inlineStr">
        <is>
          <t>x</t>
        </is>
      </c>
      <c r="E3" t="inlineStr">
        <is>
          <t>A5</t>
        </is>
      </c>
      <c r="F3" t="inlineStr">
        <is>
          <t>Macleod 2014</t>
        </is>
      </c>
      <c r="G3" t="inlineStr">
        <is>
          <t>https://doi.org/10.1002/mds.25898</t>
        </is>
      </c>
    </row>
    <row r="4">
      <c r="A4" t="inlineStr">
        <is>
          <t>demo</t>
        </is>
      </c>
      <c r="B4" t="inlineStr">
        <is>
          <t>Dementia at 10 yrs, diagnosis age ≥65</t>
        </is>
      </c>
      <c r="C4" s="2" t="n">
        <v>0.46</v>
      </c>
      <c r="D4" t="inlineStr">
        <is>
          <t>share</t>
        </is>
      </c>
      <c r="E4" t="inlineStr">
        <is>
          <t>A6</t>
        </is>
      </c>
      <c r="F4" t="inlineStr">
        <is>
          <t>CamPaIGN, Williams-Gray 2013</t>
        </is>
      </c>
      <c r="G4" t="inlineStr">
        <is>
          <t>https://doi.org/10.1136/jnnp-2013-305277</t>
        </is>
      </c>
    </row>
    <row r="5">
      <c r="A5" t="inlineStr">
        <is>
          <t>demy</t>
        </is>
      </c>
      <c r="B5" t="inlineStr">
        <is>
          <t>Dementia among 15-yr survivors, diagnosis age &lt;65</t>
        </is>
      </c>
      <c r="C5" s="2" t="n">
        <v>0.48</v>
      </c>
      <c r="D5" t="inlineStr">
        <is>
          <t>share</t>
        </is>
      </c>
      <c r="E5" t="inlineStr">
        <is>
          <t>A15</t>
        </is>
      </c>
      <c r="F5" t="inlineStr">
        <is>
          <t>Sydney, Hely 2005</t>
        </is>
      </c>
      <c r="G5" t="inlineStr">
        <is>
          <t>https://doi.org/10.1002/mds.20324</t>
        </is>
      </c>
    </row>
    <row r="6">
      <c r="A6" t="inlineStr">
        <is>
          <t>mc5</t>
        </is>
      </c>
      <c r="B6" t="inlineStr">
        <is>
          <t>Motor fluctuations by 4–6 yrs levodopa</t>
        </is>
      </c>
      <c r="C6" s="2" t="n">
        <v>0.4</v>
      </c>
      <c r="D6" t="inlineStr">
        <is>
          <t>share</t>
        </is>
      </c>
      <c r="E6" t="inlineStr">
        <is>
          <t>A7</t>
        </is>
      </c>
      <c r="F6" t="inlineStr">
        <is>
          <t>Ahlskog &amp; Muenter 2001</t>
        </is>
      </c>
      <c r="G6" t="inlineStr">
        <is>
          <t>https://doi.org/10.1002/mds.1090</t>
        </is>
      </c>
    </row>
    <row r="7">
      <c r="A7" t="inlineStr">
        <is>
          <t>mc15</t>
        </is>
      </c>
      <c r="B7" t="inlineStr">
        <is>
          <t>Motor complications at 15 yrs</t>
        </is>
      </c>
      <c r="C7" s="2" t="n">
        <v>0.95</v>
      </c>
      <c r="D7" t="inlineStr">
        <is>
          <t>share</t>
        </is>
      </c>
      <c r="E7" t="inlineStr">
        <is>
          <t>A15</t>
        </is>
      </c>
      <c r="F7" t="inlineStr">
        <is>
          <t>Hely 2005</t>
        </is>
      </c>
      <c r="G7" t="inlineStr">
        <is>
          <t>https://doi.org/10.1002/mds.20324</t>
        </is>
      </c>
    </row>
    <row r="8">
      <c r="A8" t="inlineStr">
        <is>
          <t>dx</t>
        </is>
      </c>
      <c r="B8" t="inlineStr">
        <is>
          <t>Levodopa-responsive idiopathic PD</t>
        </is>
      </c>
      <c r="C8" s="2" t="n">
        <v>0.806</v>
      </c>
      <c r="D8" t="inlineStr">
        <is>
          <t>share</t>
        </is>
      </c>
      <c r="E8" t="inlineStr">
        <is>
          <t>A9</t>
        </is>
      </c>
      <c r="F8" t="inlineStr">
        <is>
          <t>Rizzo 2016</t>
        </is>
      </c>
      <c r="G8" t="inlineStr">
        <is>
          <t>https://doi.org/10.1212/WNL.0000000000002350</t>
        </is>
      </c>
    </row>
    <row r="9">
      <c r="A9" t="inlineStr">
        <is>
          <t>dur</t>
        </is>
      </c>
      <c r="B9" t="inlineStr">
        <is>
          <t>Minimum disease duration</t>
        </is>
      </c>
      <c r="C9" s="2" t="n">
        <v>4</v>
      </c>
      <c r="D9" t="inlineStr">
        <is>
          <t>years</t>
        </is>
      </c>
      <c r="E9" t="inlineStr">
        <is>
          <t>A</t>
        </is>
      </c>
      <c r="F9" t="inlineStr">
        <is>
          <t>Medtronic label, P960009/S478</t>
        </is>
      </c>
      <c r="G9" t="inlineStr">
        <is>
          <t>https://www.accessdata.fda.gov/cdrh_docs/pdf/P960009S478B.pdf</t>
        </is>
      </c>
    </row>
    <row r="10">
      <c r="A10" t="inlineStr">
        <is>
          <t>dis</t>
        </is>
      </c>
      <c r="B10" t="inlineStr">
        <is>
          <t>Not adequately controlled share of motor complications (shape only)</t>
        </is>
      </c>
      <c r="C10" s="2" t="n">
        <v>0.7</v>
      </c>
      <c r="D10" t="inlineStr">
        <is>
          <t>share</t>
        </is>
      </c>
      <c r="E10" t="inlineStr">
        <is>
          <t>S1 ★</t>
        </is>
      </c>
      <c r="F10" t="inlineStr">
        <is>
          <t>Sets cohort shape; level is set by eligibility scenario</t>
        </is>
      </c>
      <c r="G10" t="inlineStr"/>
    </row>
    <row r="11">
      <c r="A11" t="inlineStr">
        <is>
          <t>fit</t>
        </is>
      </c>
      <c r="B11" t="inlineStr">
        <is>
          <t>Medically fit (shape only)</t>
        </is>
      </c>
      <c r="C11" s="2" t="n">
        <v>0.9</v>
      </c>
      <c r="D11" t="inlineStr">
        <is>
          <t>share</t>
        </is>
      </c>
      <c r="E11" t="inlineStr">
        <is>
          <t>S2 ★</t>
        </is>
      </c>
      <c r="F11" t="inlineStr">
        <is>
          <t>As above</t>
        </is>
      </c>
      <c r="G11" t="inlineStr"/>
    </row>
    <row r="12">
      <c r="A12" t="inlineStr">
        <is>
          <t>cap</t>
        </is>
      </c>
      <c r="B12" t="inlineStr">
        <is>
          <t>Upper age cap</t>
        </is>
      </c>
      <c r="C12" s="2" t="n">
        <v>75</v>
      </c>
      <c r="D12" t="inlineStr">
        <is>
          <t>years</t>
        </is>
      </c>
      <c r="E12" t="inlineStr">
        <is>
          <t>S3 ★</t>
        </is>
      </c>
      <c r="F12" t="inlineStr">
        <is>
          <t>Label has no cap; practice ~70–75</t>
        </is>
      </c>
      <c r="G12" t="inlineStr"/>
    </row>
    <row r="13">
      <c r="A13" t="inlineStr">
        <is>
          <t>dbs</t>
        </is>
      </c>
      <c r="B13" t="inlineStr">
        <is>
          <t>PD DBS per year, 2019</t>
        </is>
      </c>
      <c r="C13" s="2" t="n">
        <v>3990</v>
      </c>
      <c r="D13" t="inlineStr">
        <is>
          <t>procedures</t>
        </is>
      </c>
      <c r="E13" t="inlineStr">
        <is>
          <t>A10</t>
        </is>
      </c>
      <c r="F13" t="inlineStr">
        <is>
          <t>NIS 2019 weighted inpatient discharges, PD diagnosis, all ages (Venkatraman 2024, Table 1)</t>
        </is>
      </c>
      <c r="G13" t="inlineStr">
        <is>
          <t>https://pmc.ncbi.nlm.nih.gov/articles/PMC10898494/</t>
        </is>
      </c>
    </row>
    <row r="14">
      <c r="A14" t="inlineStr">
        <is>
          <t>dbsu</t>
        </is>
      </c>
      <c r="B14" t="inlineStr">
        <is>
          <t>DBS share under the age cap</t>
        </is>
      </c>
      <c r="C14" s="2" t="n">
        <v>0.85</v>
      </c>
      <c r="D14" t="inlineStr">
        <is>
          <t>share</t>
        </is>
      </c>
      <c r="E14" t="inlineStr">
        <is>
          <t>S5 ★</t>
        </is>
      </c>
      <c r="F14" t="inlineStr">
        <is>
          <t>Range 75–95%; outpatient uplift tested via this cell (4.5k ⇒ 1.128)</t>
        </is>
      </c>
      <c r="G14" t="inlineStr"/>
    </row>
    <row r="15">
      <c r="A15" t="inlineStr">
        <is>
          <t>caly</t>
        </is>
      </c>
      <c r="B15" t="inlineStr">
        <is>
          <t>Calibration year</t>
        </is>
      </c>
      <c r="C15" s="2" t="n">
        <v>2019</v>
      </c>
      <c r="D15" t="inlineStr">
        <is>
          <t>FY</t>
        </is>
      </c>
      <c r="E15" t="inlineStr">
        <is>
          <t>A10</t>
        </is>
      </c>
      <c r="F15" t="inlineStr">
        <is>
          <t>Year of the DBS count</t>
        </is>
      </c>
      <c r="G15" t="inlineStr"/>
    </row>
    <row r="16">
      <c r="A16" t="inlineStr">
        <is>
          <t>kf</t>
        </is>
      </c>
      <c r="B16" t="inlineStr">
        <is>
          <t>Backlog draw-down per year after launch</t>
        </is>
      </c>
      <c r="C16" s="2" t="n">
        <v>0.5</v>
      </c>
      <c r="D16" t="inlineStr">
        <is>
          <t>share</t>
        </is>
      </c>
      <c r="E16" t="inlineStr">
        <is>
          <t>S6 ★</t>
        </is>
      </c>
      <c r="F16" t="inlineStr">
        <is>
          <t>Range 25–100%</t>
        </is>
      </c>
      <c r="G16" t="inlineStr"/>
    </row>
    <row r="17">
      <c r="A17" t="inlineStr">
        <is>
          <t>launch</t>
        </is>
      </c>
      <c r="B17" t="inlineStr">
        <is>
          <t>First one-time therapy launch</t>
        </is>
      </c>
      <c r="C17" s="2" t="n">
        <v>2029</v>
      </c>
      <c r="D17" t="inlineStr">
        <is>
          <t>FY</t>
        </is>
      </c>
      <c r="E17" t="inlineStr">
        <is>
          <t>S7 ★</t>
        </is>
      </c>
      <c r="F17" t="inlineStr"/>
      <c r="G17" t="inlineStr"/>
    </row>
    <row r="18">
      <c r="A18" t="inlineStr">
        <is>
          <t>price</t>
        </is>
      </c>
      <c r="B18" t="inlineStr">
        <is>
          <t>Revenue per procedure</t>
        </is>
      </c>
      <c r="C18" s="2" t="n">
        <v>0.02</v>
      </c>
      <c r="D18" t="inlineStr">
        <is>
          <t>US$M</t>
        </is>
      </c>
      <c r="E18" t="inlineStr">
        <is>
          <t>P</t>
        </is>
      </c>
      <c r="F18" t="inlineStr">
        <is>
          <t>David May: $20k</t>
        </is>
      </c>
      <c r="G18" t="inlineStr"/>
    </row>
    <row r="19">
      <c r="A19" t="inlineStr">
        <is>
          <t>r</t>
        </is>
      </c>
      <c r="B19" t="inlineStr">
        <is>
          <t>Referral / evaluation (judgment, comparison only)</t>
        </is>
      </c>
      <c r="C19" s="2" t="n">
        <v>0.55</v>
      </c>
      <c r="D19" t="inlineStr">
        <is>
          <t>share</t>
        </is>
      </c>
      <c r="E19" t="inlineStr">
        <is>
          <t>S9 ★</t>
        </is>
      </c>
      <c r="F19" t="inlineStr">
        <is>
          <t>Range 30–80% (Part 3 notes)</t>
        </is>
      </c>
      <c r="G19" t="inlineStr"/>
    </row>
    <row r="20">
      <c r="A20" t="inlineStr">
        <is>
          <t>w</t>
        </is>
      </c>
      <c r="B20" t="inlineStr">
        <is>
          <t>Willing among referred (judgment, comparison only)</t>
        </is>
      </c>
      <c r="C20" s="2" t="n">
        <v>0.6</v>
      </c>
      <c r="D20" t="inlineStr">
        <is>
          <t>share</t>
        </is>
      </c>
      <c r="E20" t="inlineStr">
        <is>
          <t>S10 ★</t>
        </is>
      </c>
      <c r="F20" t="inlineStr">
        <is>
          <t>Range 40–85%; 35–43% published is consent-to-referral (A11, A12); 58.7% of fully evaluated implanted (A21)</t>
        </is>
      </c>
      <c r="G20" t="inlineStr">
        <is>
          <t>https://pmc.ncbi.nlm.nih.gov/articles/PMC6183455/</t>
        </is>
      </c>
    </row>
    <row r="21">
      <c r="A21" t="inlineStr">
        <is>
          <t>c</t>
        </is>
      </c>
      <c r="B21" t="inlineStr">
        <is>
          <t>Covered (judgment, comparison only)</t>
        </is>
      </c>
      <c r="C21" s="2" t="n">
        <v>0.9</v>
      </c>
      <c r="D21" t="inlineStr">
        <is>
          <t>share</t>
        </is>
      </c>
      <c r="E21" t="inlineStr">
        <is>
          <t>S4 ★</t>
        </is>
      </c>
      <c r="F21" t="inlineStr">
        <is>
          <t>Range 80–95%</t>
        </is>
      </c>
      <c r="G21" t="inlineStr"/>
    </row>
    <row r="22">
      <c r="A22" t="inlineStr">
        <is>
          <t>olm</t>
        </is>
      </c>
      <c r="B22" t="inlineStr">
        <is>
          <t>Ever-DBS share of incident PD, Olmsted County</t>
        </is>
      </c>
      <c r="C22" s="2" t="n">
        <v>0.048</v>
      </c>
      <c r="D22" t="inlineStr">
        <is>
          <t>share</t>
        </is>
      </c>
      <c r="E22" t="inlineStr">
        <is>
          <t>A8</t>
        </is>
      </c>
      <c r="F22" t="inlineStr">
        <is>
          <t>16% fluctuations × 29% DBS (Stang 2021, AAN abstract); product is a calculation</t>
        </is>
      </c>
      <c r="G22" t="inlineStr">
        <is>
          <t>https://doi.org/10.1212/WNL.96.15_supplement.4377</t>
        </is>
      </c>
    </row>
    <row r="24">
      <c r="B24" s="3" t="inlineStr">
        <is>
          <t>Derived (live)</t>
        </is>
      </c>
    </row>
    <row r="25">
      <c r="A25" t="inlineStr">
        <is>
          <t>du</t>
        </is>
      </c>
      <c r="B25" t="inlineStr">
        <is>
          <t>DBS under cap per year</t>
        </is>
      </c>
      <c r="C25">
        <f>Inputs!$C$13*Inputs!$C$14</f>
        <v/>
      </c>
      <c r="E25" t="inlineStr">
        <is>
          <t>C</t>
        </is>
      </c>
    </row>
    <row r="26">
      <c r="A26" t="inlineStr">
        <is>
          <t>spub</t>
        </is>
      </c>
      <c r="B26" t="inlineStr">
        <is>
          <t>Published-screen eligible share of PD, FY2026</t>
        </is>
      </c>
      <c r="C26">
        <f>Cohort!B28/Cohort!H28</f>
        <v/>
      </c>
      <c r="E26" t="inlineStr">
        <is>
          <t>C</t>
        </is>
      </c>
    </row>
    <row r="27">
      <c r="A27" t="inlineStr">
        <is>
          <t>Ncal</t>
        </is>
      </c>
      <c r="B27" t="inlineStr">
        <is>
          <t>Published-screen newly eligible in calibration year</t>
        </is>
      </c>
      <c r="C27">
        <f>INDEX(Cohort!C:C,MATCH(Inputs!$C$15,Cohort!A:A,0))</f>
        <v/>
      </c>
      <c r="E27" t="inlineStr">
        <is>
          <t>C</t>
        </is>
      </c>
    </row>
    <row r="28">
      <c r="A28" t="inlineStr">
        <is>
          <t>LFpub</t>
        </is>
      </c>
      <c r="B28" t="inlineStr">
        <is>
          <t>Lifetime fraction ever eligible, published screens</t>
        </is>
      </c>
      <c r="C28" t="n">
        <v>0.08824962881249153</v>
      </c>
      <c r="E28" t="inlineStr">
        <is>
          <t>C (cohort)</t>
        </is>
      </c>
    </row>
    <row r="29">
      <c r="A29" t="inlineStr">
        <is>
          <t>YE</t>
        </is>
      </c>
      <c r="B29" t="inlineStr">
        <is>
          <t>Mean years eligible per entrant</t>
        </is>
      </c>
      <c r="C29" t="n">
        <v>6.09809738325057</v>
      </c>
      <c r="E29" t="inlineStr">
        <is>
          <t>C (cohort)</t>
        </is>
      </c>
    </row>
    <row r="30">
      <c r="A30" t="inlineStr">
        <is>
          <t>YD</t>
        </is>
      </c>
      <c r="B30" t="inlineStr">
        <is>
          <t>Mean survival from diagnosis (yrs)</t>
        </is>
      </c>
      <c r="C30" t="n">
        <v>11.96026771984985</v>
      </c>
      <c r="E30" t="inlineStr">
        <is>
          <t>C (cohort)</t>
        </is>
      </c>
    </row>
    <row r="31">
      <c r="A31" t="inlineStr">
        <is>
          <t>rwc</t>
        </is>
      </c>
      <c r="B31" t="inlineStr">
        <is>
          <t>Judgment product r×w×c</t>
        </is>
      </c>
      <c r="C31">
        <f>Inputs!$C$19*Inputs!$C$20*Inputs!$C$21</f>
        <v/>
      </c>
      <c r="E31" t="inlineStr">
        <is>
          <t>C</t>
        </is>
      </c>
    </row>
    <row r="32">
      <c r="A32" t="inlineStr">
        <is>
          <t>E2000</t>
        </is>
      </c>
      <c r="B32" t="inlineStr">
        <is>
          <t>Published-screen eligible stock FY2000</t>
        </is>
      </c>
      <c r="C32" t="n">
        <v>20423.0510532085</v>
      </c>
      <c r="E32" t="inlineStr">
        <is>
          <t>C</t>
        </is>
      </c>
    </row>
    <row r="33">
      <c r="A33" t="inlineStr">
        <is>
          <t>G</t>
        </is>
      </c>
      <c r="B33" t="inlineStr">
        <is>
          <t>Incidence growth (Census 2020–24, age-weighted)</t>
        </is>
      </c>
      <c r="C33" t="n">
        <v>0.02572214835984266</v>
      </c>
      <c r="E33" t="inlineStr">
        <is>
          <t>C1</t>
        </is>
      </c>
    </row>
    <row r="35">
      <c r="B35" s="3" t="inlineStr">
        <is>
          <t>Other published inputs used in the cohort model</t>
        </is>
      </c>
    </row>
    <row r="36">
      <c r="B36" t="inlineStr">
        <is>
          <t>Hirsch 2016 incidence /100k, age 40s (F, M)</t>
        </is>
      </c>
      <c r="C36" t="n">
        <v>3.26</v>
      </c>
      <c r="D36" t="n">
        <v>3.57</v>
      </c>
      <c r="E36" t="inlineStr">
        <is>
          <t>A3</t>
        </is>
      </c>
      <c r="G36" t="inlineStr">
        <is>
          <t>https://doi.org/10.1159/000445751</t>
        </is>
      </c>
    </row>
    <row r="37">
      <c r="B37" t="inlineStr">
        <is>
          <t>Hirsch 2016 incidence /100k, age 50s (F, M)</t>
        </is>
      </c>
      <c r="C37" t="n">
        <v>10.32</v>
      </c>
      <c r="D37" t="n">
        <v>12.58</v>
      </c>
      <c r="E37" t="inlineStr">
        <is>
          <t>A3</t>
        </is>
      </c>
      <c r="G37" t="inlineStr">
        <is>
          <t>https://doi.org/10.1159/000445751</t>
        </is>
      </c>
    </row>
    <row r="38">
      <c r="B38" t="inlineStr">
        <is>
          <t>Hirsch 2016 incidence /100k, age 60s (F, M)</t>
        </is>
      </c>
      <c r="C38" t="n">
        <v>30.32</v>
      </c>
      <c r="D38" t="n">
        <v>58.22</v>
      </c>
      <c r="E38" t="inlineStr">
        <is>
          <t>A3</t>
        </is>
      </c>
      <c r="G38" t="inlineStr">
        <is>
          <t>https://doi.org/10.1159/000445751</t>
        </is>
      </c>
    </row>
    <row r="39">
      <c r="B39" t="inlineStr">
        <is>
          <t>Hirsch 2016 incidence /100k, age 70s (F, M)</t>
        </is>
      </c>
      <c r="C39" t="n">
        <v>93.31999999999999</v>
      </c>
      <c r="D39" t="n">
        <v>162.58</v>
      </c>
      <c r="E39" t="inlineStr">
        <is>
          <t>A3</t>
        </is>
      </c>
      <c r="G39" t="inlineStr">
        <is>
          <t>https://doi.org/10.1159/000445751</t>
        </is>
      </c>
    </row>
    <row r="40">
      <c r="B40" t="inlineStr">
        <is>
          <t>Hirsch 2016 incidence /100k, age 80s (F, M)</t>
        </is>
      </c>
      <c r="C40" t="n">
        <v>103.48</v>
      </c>
      <c r="D40" t="n">
        <v>258.47</v>
      </c>
      <c r="E40" t="inlineStr">
        <is>
          <t>A3</t>
        </is>
      </c>
      <c r="G40" t="inlineStr">
        <is>
          <t>https://doi.org/10.1159/000445751</t>
        </is>
      </c>
    </row>
    <row r="41">
      <c r="B41" t="inlineStr">
        <is>
          <t>SSA 2023 qx, age 40</t>
        </is>
      </c>
      <c r="C41" t="n">
        <v>0.00238</v>
      </c>
      <c r="E41" t="inlineStr">
        <is>
          <t>A4</t>
        </is>
      </c>
      <c r="G41" t="inlineStr">
        <is>
          <t>https://www.ssa.gov/oact/STATS/table4c6.html</t>
        </is>
      </c>
    </row>
    <row r="42">
      <c r="B42" t="inlineStr">
        <is>
          <t>SSA 2023 qx, age 45</t>
        </is>
      </c>
      <c r="C42" t="n">
        <v>0.00306</v>
      </c>
      <c r="E42" t="inlineStr">
        <is>
          <t>A4</t>
        </is>
      </c>
      <c r="G42" t="inlineStr">
        <is>
          <t>https://www.ssa.gov/oact/STATS/table4c6.html</t>
        </is>
      </c>
    </row>
    <row r="43">
      <c r="B43" t="inlineStr">
        <is>
          <t>SSA 2023 qx, age 50</t>
        </is>
      </c>
      <c r="C43" t="n">
        <v>0.00408</v>
      </c>
      <c r="E43" t="inlineStr">
        <is>
          <t>A4</t>
        </is>
      </c>
      <c r="G43" t="inlineStr">
        <is>
          <t>https://www.ssa.gov/oact/STATS/table4c6.html</t>
        </is>
      </c>
    </row>
    <row r="44">
      <c r="B44" t="inlineStr">
        <is>
          <t>SSA 2023 qx, age 55</t>
        </is>
      </c>
      <c r="C44" t="n">
        <v>0.00601</v>
      </c>
      <c r="E44" t="inlineStr">
        <is>
          <t>A4</t>
        </is>
      </c>
      <c r="G44" t="inlineStr">
        <is>
          <t>https://www.ssa.gov/oact/STATS/table4c6.html</t>
        </is>
      </c>
    </row>
    <row r="45">
      <c r="B45" t="inlineStr">
        <is>
          <t>SSA 2023 qx, age 60</t>
        </is>
      </c>
      <c r="C45" t="n">
        <v>0.009129999999999999</v>
      </c>
      <c r="E45" t="inlineStr">
        <is>
          <t>A4</t>
        </is>
      </c>
      <c r="G45" t="inlineStr">
        <is>
          <t>https://www.ssa.gov/oact/STATS/table4c6.html</t>
        </is>
      </c>
    </row>
    <row r="46">
      <c r="B46" t="inlineStr">
        <is>
          <t>SSA 2023 qx, age 65</t>
        </is>
      </c>
      <c r="C46" t="n">
        <v>0.01332</v>
      </c>
      <c r="E46" t="inlineStr">
        <is>
          <t>A4</t>
        </is>
      </c>
      <c r="G46" t="inlineStr">
        <is>
          <t>https://www.ssa.gov/oact/STATS/table4c6.html</t>
        </is>
      </c>
    </row>
    <row r="47">
      <c r="B47" t="inlineStr">
        <is>
          <t>SSA 2023 qx, age 70</t>
        </is>
      </c>
      <c r="C47" t="n">
        <v>0.01884</v>
      </c>
      <c r="E47" t="inlineStr">
        <is>
          <t>A4</t>
        </is>
      </c>
      <c r="G47" t="inlineStr">
        <is>
          <t>https://www.ssa.gov/oact/STATS/table4c6.html</t>
        </is>
      </c>
    </row>
    <row r="48">
      <c r="B48" t="inlineStr">
        <is>
          <t>SSA 2023 qx, age 75</t>
        </is>
      </c>
      <c r="C48" t="n">
        <v>0.02882</v>
      </c>
      <c r="E48" t="inlineStr">
        <is>
          <t>A4</t>
        </is>
      </c>
      <c r="G48" t="inlineStr">
        <is>
          <t>https://www.ssa.gov/oact/STATS/table4c6.html</t>
        </is>
      </c>
    </row>
    <row r="49">
      <c r="B49" t="inlineStr">
        <is>
          <t>SSA 2023 qx, age 80</t>
        </is>
      </c>
      <c r="C49" t="n">
        <v>0.04841</v>
      </c>
      <c r="E49" t="inlineStr">
        <is>
          <t>A4</t>
        </is>
      </c>
      <c r="G49" t="inlineStr">
        <is>
          <t>https://www.ssa.gov/oact/STATS/table4c6.html</t>
        </is>
      </c>
    </row>
    <row r="50">
      <c r="B50" t="inlineStr">
        <is>
          <t>SSA 2023 qx, age 85</t>
        </is>
      </c>
      <c r="C50" t="n">
        <v>0.08222</v>
      </c>
      <c r="E50" t="inlineStr">
        <is>
          <t>A4</t>
        </is>
      </c>
      <c r="G50" t="inlineStr">
        <is>
          <t>https://www.ssa.gov/oact/STATS/table4c6.html</t>
        </is>
      </c>
    </row>
    <row r="51">
      <c r="B51" t="inlineStr">
        <is>
          <t>SSA 2023 qx, age 90</t>
        </is>
      </c>
      <c r="C51" t="n">
        <v>0.1443</v>
      </c>
      <c r="E51" t="inlineStr">
        <is>
          <t>A4</t>
        </is>
      </c>
      <c r="G51" t="inlineStr">
        <is>
          <t>https://www.ssa.gov/oact/STATS/table4c6.html</t>
        </is>
      </c>
    </row>
    <row r="52">
      <c r="B52" t="inlineStr">
        <is>
          <t>SSA 2023 qx, age 95</t>
        </is>
      </c>
      <c r="C52" t="n">
        <v>0.2396</v>
      </c>
      <c r="E52" t="inlineStr">
        <is>
          <t>A4</t>
        </is>
      </c>
      <c r="G52" t="inlineStr">
        <is>
          <t>https://www.ssa.gov/oact/STATS/table4c6.html</t>
        </is>
      </c>
    </row>
    <row r="53">
      <c r="B53" t="inlineStr">
        <is>
          <t>SSA 2023 qx, age 100</t>
        </is>
      </c>
      <c r="C53" t="n">
        <v>0.348</v>
      </c>
      <c r="E53" t="inlineStr">
        <is>
          <t>A4</t>
        </is>
      </c>
      <c r="G53" t="inlineStr">
        <is>
          <t>https://www.ssa.gov/oact/STATS/table4c6.html</t>
        </is>
      </c>
    </row>
    <row r="54">
      <c r="B54" t="inlineStr">
        <is>
          <t>SSA 2023 qx, age 110</t>
        </is>
      </c>
      <c r="C54" t="n">
        <v>0.6</v>
      </c>
      <c r="E54" t="inlineStr">
        <is>
          <t>A4</t>
        </is>
      </c>
      <c r="G54" t="inlineStr">
        <is>
          <t>https://www.ssa.gov/oact/STATS/table4c6.html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Class demand for a one-time therapy, patients ('A' DBS keeps volume / 'B' replaces DBS) and $M at $20k</t>
        </is>
      </c>
    </row>
    <row r="2">
      <c r="A2" s="1" t="inlineStr">
        <is>
          <t>Case</t>
        </is>
      </c>
      <c r="B2" s="1" t="inlineStr">
        <is>
          <t>Measure</t>
        </is>
      </c>
      <c r="C2" s="1" t="inlineStr">
        <is>
          <t>FY2029</t>
        </is>
      </c>
      <c r="D2" s="1" t="inlineStr">
        <is>
          <t>FY2030</t>
        </is>
      </c>
      <c r="E2" s="1" t="inlineStr">
        <is>
          <t>FY2032</t>
        </is>
      </c>
      <c r="F2" s="1" t="inlineStr">
        <is>
          <t>FY2035</t>
        </is>
      </c>
      <c r="G2" s="1" t="inlineStr">
        <is>
          <t>FY2040</t>
        </is>
      </c>
      <c r="H2" s="1" t="inlineStr">
        <is>
          <t>FY2045</t>
        </is>
      </c>
    </row>
    <row r="3">
      <c r="A3" t="inlineStr">
        <is>
          <t>5%</t>
        </is>
      </c>
      <c r="B3" t="inlineStr">
        <is>
          <t>A: one-time</t>
        </is>
      </c>
      <c r="C3">
        <f>'Flow 5%'!K32</f>
        <v/>
      </c>
      <c r="D3">
        <f>'Flow 5%'!K33</f>
        <v/>
      </c>
      <c r="E3">
        <f>'Flow 5%'!K35</f>
        <v/>
      </c>
      <c r="F3">
        <f>'Flow 5%'!K38</f>
        <v/>
      </c>
      <c r="G3">
        <f>'Flow 5%'!K43</f>
        <v/>
      </c>
      <c r="H3">
        <f>'Flow 5%'!K48</f>
        <v/>
      </c>
    </row>
    <row r="4">
      <c r="A4" t="inlineStr">
        <is>
          <t>5%</t>
        </is>
      </c>
      <c r="B4" t="inlineStr">
        <is>
          <t>B: one-time</t>
        </is>
      </c>
      <c r="C4">
        <f>'Flow 5%'!P32</f>
        <v/>
      </c>
      <c r="D4">
        <f>'Flow 5%'!P33</f>
        <v/>
      </c>
      <c r="E4">
        <f>'Flow 5%'!P35</f>
        <v/>
      </c>
      <c r="F4">
        <f>'Flow 5%'!P38</f>
        <v/>
      </c>
      <c r="G4">
        <f>'Flow 5%'!P43</f>
        <v/>
      </c>
      <c r="H4">
        <f>'Flow 5%'!P48</f>
        <v/>
      </c>
    </row>
    <row r="5">
      <c r="A5" t="inlineStr">
        <is>
          <t>5%</t>
        </is>
      </c>
      <c r="B5" t="inlineStr">
        <is>
          <t>A: $M</t>
        </is>
      </c>
      <c r="C5">
        <f>'Flow 5%'!M32</f>
        <v/>
      </c>
      <c r="D5">
        <f>'Flow 5%'!M33</f>
        <v/>
      </c>
      <c r="E5">
        <f>'Flow 5%'!M35</f>
        <v/>
      </c>
      <c r="F5">
        <f>'Flow 5%'!M38</f>
        <v/>
      </c>
      <c r="G5">
        <f>'Flow 5%'!M43</f>
        <v/>
      </c>
      <c r="H5">
        <f>'Flow 5%'!M48</f>
        <v/>
      </c>
    </row>
    <row r="6">
      <c r="A6" t="inlineStr">
        <is>
          <t>5%</t>
        </is>
      </c>
      <c r="B6" t="inlineStr">
        <is>
          <t>B: $M</t>
        </is>
      </c>
      <c r="C6">
        <f>'Flow 5%'!R32</f>
        <v/>
      </c>
      <c r="D6">
        <f>'Flow 5%'!R33</f>
        <v/>
      </c>
      <c r="E6">
        <f>'Flow 5%'!R35</f>
        <v/>
      </c>
      <c r="F6">
        <f>'Flow 5%'!R38</f>
        <v/>
      </c>
      <c r="G6">
        <f>'Flow 5%'!R43</f>
        <v/>
      </c>
      <c r="H6">
        <f>'Flow 5%'!R48</f>
        <v/>
      </c>
    </row>
    <row r="7">
      <c r="A7" t="inlineStr">
        <is>
          <t>8%</t>
        </is>
      </c>
      <c r="B7" t="inlineStr">
        <is>
          <t>A: one-time</t>
        </is>
      </c>
      <c r="C7">
        <f>'Flow 8%'!K32</f>
        <v/>
      </c>
      <c r="D7">
        <f>'Flow 8%'!K33</f>
        <v/>
      </c>
      <c r="E7">
        <f>'Flow 8%'!K35</f>
        <v/>
      </c>
      <c r="F7">
        <f>'Flow 8%'!K38</f>
        <v/>
      </c>
      <c r="G7">
        <f>'Flow 8%'!K43</f>
        <v/>
      </c>
      <c r="H7">
        <f>'Flow 8%'!K48</f>
        <v/>
      </c>
    </row>
    <row r="8">
      <c r="A8" t="inlineStr">
        <is>
          <t>8%</t>
        </is>
      </c>
      <c r="B8" t="inlineStr">
        <is>
          <t>B: one-time</t>
        </is>
      </c>
      <c r="C8">
        <f>'Flow 8%'!P32</f>
        <v/>
      </c>
      <c r="D8">
        <f>'Flow 8%'!P33</f>
        <v/>
      </c>
      <c r="E8">
        <f>'Flow 8%'!P35</f>
        <v/>
      </c>
      <c r="F8">
        <f>'Flow 8%'!P38</f>
        <v/>
      </c>
      <c r="G8">
        <f>'Flow 8%'!P43</f>
        <v/>
      </c>
      <c r="H8">
        <f>'Flow 8%'!P48</f>
        <v/>
      </c>
    </row>
    <row r="9">
      <c r="A9" t="inlineStr">
        <is>
          <t>8%</t>
        </is>
      </c>
      <c r="B9" t="inlineStr">
        <is>
          <t>A: $M</t>
        </is>
      </c>
      <c r="C9">
        <f>'Flow 8%'!M32</f>
        <v/>
      </c>
      <c r="D9">
        <f>'Flow 8%'!M33</f>
        <v/>
      </c>
      <c r="E9">
        <f>'Flow 8%'!M35</f>
        <v/>
      </c>
      <c r="F9">
        <f>'Flow 8%'!M38</f>
        <v/>
      </c>
      <c r="G9">
        <f>'Flow 8%'!M43</f>
        <v/>
      </c>
      <c r="H9">
        <f>'Flow 8%'!M48</f>
        <v/>
      </c>
    </row>
    <row r="10">
      <c r="A10" t="inlineStr">
        <is>
          <t>8%</t>
        </is>
      </c>
      <c r="B10" t="inlineStr">
        <is>
          <t>B: $M</t>
        </is>
      </c>
      <c r="C10">
        <f>'Flow 8%'!R32</f>
        <v/>
      </c>
      <c r="D10">
        <f>'Flow 8%'!R33</f>
        <v/>
      </c>
      <c r="E10">
        <f>'Flow 8%'!R35</f>
        <v/>
      </c>
      <c r="F10">
        <f>'Flow 8%'!R38</f>
        <v/>
      </c>
      <c r="G10">
        <f>'Flow 8%'!R43</f>
        <v/>
      </c>
      <c r="H10">
        <f>'Flow 8%'!R48</f>
        <v/>
      </c>
    </row>
    <row r="11">
      <c r="A11" t="inlineStr">
        <is>
          <t>10%</t>
        </is>
      </c>
      <c r="B11" t="inlineStr">
        <is>
          <t>A: one-time</t>
        </is>
      </c>
      <c r="C11">
        <f>'Flow 10%'!K32</f>
        <v/>
      </c>
      <c r="D11">
        <f>'Flow 10%'!K33</f>
        <v/>
      </c>
      <c r="E11">
        <f>'Flow 10%'!K35</f>
        <v/>
      </c>
      <c r="F11">
        <f>'Flow 10%'!K38</f>
        <v/>
      </c>
      <c r="G11">
        <f>'Flow 10%'!K43</f>
        <v/>
      </c>
      <c r="H11">
        <f>'Flow 10%'!K48</f>
        <v/>
      </c>
    </row>
    <row r="12">
      <c r="A12" t="inlineStr">
        <is>
          <t>10%</t>
        </is>
      </c>
      <c r="B12" t="inlineStr">
        <is>
          <t>B: one-time</t>
        </is>
      </c>
      <c r="C12">
        <f>'Flow 10%'!P32</f>
        <v/>
      </c>
      <c r="D12">
        <f>'Flow 10%'!P33</f>
        <v/>
      </c>
      <c r="E12">
        <f>'Flow 10%'!P35</f>
        <v/>
      </c>
      <c r="F12">
        <f>'Flow 10%'!P38</f>
        <v/>
      </c>
      <c r="G12">
        <f>'Flow 10%'!P43</f>
        <v/>
      </c>
      <c r="H12">
        <f>'Flow 10%'!P48</f>
        <v/>
      </c>
    </row>
    <row r="13">
      <c r="A13" t="inlineStr">
        <is>
          <t>10%</t>
        </is>
      </c>
      <c r="B13" t="inlineStr">
        <is>
          <t>A: $M</t>
        </is>
      </c>
      <c r="C13">
        <f>'Flow 10%'!M32</f>
        <v/>
      </c>
      <c r="D13">
        <f>'Flow 10%'!M33</f>
        <v/>
      </c>
      <c r="E13">
        <f>'Flow 10%'!M35</f>
        <v/>
      </c>
      <c r="F13">
        <f>'Flow 10%'!M38</f>
        <v/>
      </c>
      <c r="G13">
        <f>'Flow 10%'!M43</f>
        <v/>
      </c>
      <c r="H13">
        <f>'Flow 10%'!M48</f>
        <v/>
      </c>
    </row>
    <row r="14">
      <c r="A14" t="inlineStr">
        <is>
          <t>10%</t>
        </is>
      </c>
      <c r="B14" t="inlineStr">
        <is>
          <t>B: $M</t>
        </is>
      </c>
      <c r="C14">
        <f>'Flow 10%'!R32</f>
        <v/>
      </c>
      <c r="D14">
        <f>'Flow 10%'!R33</f>
        <v/>
      </c>
      <c r="E14">
        <f>'Flow 10%'!R35</f>
        <v/>
      </c>
      <c r="F14">
        <f>'Flow 10%'!R38</f>
        <v/>
      </c>
      <c r="G14">
        <f>'Flow 10%'!R43</f>
        <v/>
      </c>
      <c r="H14">
        <f>'Flow 10%'!R48</f>
        <v/>
      </c>
    </row>
    <row r="15">
      <c r="A15" t="inlineStr">
        <is>
          <t>15%</t>
        </is>
      </c>
      <c r="B15" t="inlineStr">
        <is>
          <t>A: one-time</t>
        </is>
      </c>
      <c r="C15">
        <f>'Flow 15%'!K32</f>
        <v/>
      </c>
      <c r="D15">
        <f>'Flow 15%'!K33</f>
        <v/>
      </c>
      <c r="E15">
        <f>'Flow 15%'!K35</f>
        <v/>
      </c>
      <c r="F15">
        <f>'Flow 15%'!K38</f>
        <v/>
      </c>
      <c r="G15">
        <f>'Flow 15%'!K43</f>
        <v/>
      </c>
      <c r="H15">
        <f>'Flow 15%'!K48</f>
        <v/>
      </c>
    </row>
    <row r="16">
      <c r="A16" t="inlineStr">
        <is>
          <t>15%</t>
        </is>
      </c>
      <c r="B16" t="inlineStr">
        <is>
          <t>B: one-time</t>
        </is>
      </c>
      <c r="C16">
        <f>'Flow 15%'!P32</f>
        <v/>
      </c>
      <c r="D16">
        <f>'Flow 15%'!P33</f>
        <v/>
      </c>
      <c r="E16">
        <f>'Flow 15%'!P35</f>
        <v/>
      </c>
      <c r="F16">
        <f>'Flow 15%'!P38</f>
        <v/>
      </c>
      <c r="G16">
        <f>'Flow 15%'!P43</f>
        <v/>
      </c>
      <c r="H16">
        <f>'Flow 15%'!P48</f>
        <v/>
      </c>
    </row>
    <row r="17">
      <c r="A17" t="inlineStr">
        <is>
          <t>15%</t>
        </is>
      </c>
      <c r="B17" t="inlineStr">
        <is>
          <t>A: $M</t>
        </is>
      </c>
      <c r="C17">
        <f>'Flow 15%'!M32</f>
        <v/>
      </c>
      <c r="D17">
        <f>'Flow 15%'!M33</f>
        <v/>
      </c>
      <c r="E17">
        <f>'Flow 15%'!M35</f>
        <v/>
      </c>
      <c r="F17">
        <f>'Flow 15%'!M38</f>
        <v/>
      </c>
      <c r="G17">
        <f>'Flow 15%'!M43</f>
        <v/>
      </c>
      <c r="H17">
        <f>'Flow 15%'!M48</f>
        <v/>
      </c>
    </row>
    <row r="18">
      <c r="A18" t="inlineStr">
        <is>
          <t>15%</t>
        </is>
      </c>
      <c r="B18" t="inlineStr">
        <is>
          <t>B: $M</t>
        </is>
      </c>
      <c r="C18">
        <f>'Flow 15%'!R32</f>
        <v/>
      </c>
      <c r="D18">
        <f>'Flow 15%'!R33</f>
        <v/>
      </c>
      <c r="E18">
        <f>'Flow 15%'!R35</f>
        <v/>
      </c>
      <c r="F18">
        <f>'Flow 15%'!R38</f>
        <v/>
      </c>
      <c r="G18">
        <f>'Flow 15%'!R43</f>
        <v/>
      </c>
      <c r="H18">
        <f>'Flow 15%'!R48</f>
        <v/>
      </c>
    </row>
    <row r="20">
      <c r="A20" s="3" t="inlineStr">
        <is>
          <t>Convergence (central 8%)</t>
        </is>
      </c>
    </row>
    <row r="21">
      <c r="B21" t="inlineStr">
        <is>
          <t>FY2045 funnel inflow = newly eligible × P (B demand → this as kf → 1)</t>
        </is>
      </c>
      <c r="C21">
        <f>'Flow 8%'!H48</f>
        <v/>
      </c>
    </row>
    <row r="22">
      <c r="B22" t="inlineStr">
        <is>
          <t>FY2045 B demand at base kf</t>
        </is>
      </c>
      <c r="C22">
        <f>'Flow 8%'!P48</f>
        <v/>
      </c>
    </row>
    <row r="23">
      <c r="B23" t="inlineStr">
        <is>
          <t>Ratio</t>
        </is>
      </c>
      <c r="C23">
        <f>C22/C21</f>
        <v/>
      </c>
    </row>
    <row r="24">
      <c r="B24" t="inlineStr">
        <is>
          <t>kf=1 run, FY2045 B demand (from pd_pool_model.py; set Inputs kf=1 to reproduce live)</t>
        </is>
      </c>
      <c r="C24" t="n">
        <v>6563.944307101662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3" t="inlineStr">
        <is>
          <t>Published-screen cohort (pd_pool_model.py). Eligible = alive, no dementia, under cap, ≥4 yrs, with motor complications × dx × S1 × S2.</t>
        </is>
      </c>
    </row>
    <row r="2">
      <c r="A2" s="1" t="inlineStr">
        <is>
          <t>FY</t>
        </is>
      </c>
      <c r="B2" s="1" t="inlineStr">
        <is>
          <t>Eligible stock (published screens)</t>
        </is>
      </c>
      <c r="C2" s="1" t="inlineStr">
        <is>
          <t>Newly eligible</t>
        </is>
      </c>
      <c r="D2" s="1" t="inlineStr">
        <is>
          <t>Exit rate μ</t>
        </is>
      </c>
      <c r="E2" s="1" t="inlineStr">
        <is>
          <t>Deaths</t>
        </is>
      </c>
      <c r="F2" s="1" t="inlineStr">
        <is>
          <t>Dementia</t>
        </is>
      </c>
      <c r="G2" s="1" t="inlineStr">
        <is>
          <t>Aged past cap</t>
        </is>
      </c>
      <c r="H2" s="1" t="inlineStr">
        <is>
          <t>PD prevalent</t>
        </is>
      </c>
      <c r="I2" s="1" t="inlineStr">
        <is>
          <t>PD incidence</t>
        </is>
      </c>
    </row>
    <row r="3">
      <c r="A3" t="n">
        <v>2001</v>
      </c>
      <c r="B3" t="n">
        <v>20948.37580235976</v>
      </c>
      <c r="C3" t="n">
        <v>3834.06204945617</v>
      </c>
      <c r="D3" t="n">
        <v>0.1620099412024484</v>
      </c>
      <c r="E3" t="n">
        <v>524.9586660251973</v>
      </c>
      <c r="F3" t="n">
        <v>795.6295632546696</v>
      </c>
      <c r="G3" t="n">
        <v>1988.149071025034</v>
      </c>
      <c r="H3" t="n">
        <v>489074.4755999899</v>
      </c>
      <c r="I3" t="n">
        <v>50183.23373970343</v>
      </c>
    </row>
    <row r="4">
      <c r="A4" t="n">
        <v>2002</v>
      </c>
      <c r="B4" t="n">
        <v>21487.2130326458</v>
      </c>
      <c r="C4" t="n">
        <v>3932.682362313128</v>
      </c>
      <c r="D4" t="n">
        <v>0.162009941202448</v>
      </c>
      <c r="E4" t="n">
        <v>538.4617307154825</v>
      </c>
      <c r="F4" t="n">
        <v>816.0948649201836</v>
      </c>
      <c r="G4" t="n">
        <v>2039.288536391424</v>
      </c>
      <c r="H4" t="n">
        <v>501654.5218203844</v>
      </c>
      <c r="I4" t="n">
        <v>51474.05432313273</v>
      </c>
    </row>
    <row r="5">
      <c r="A5" t="n">
        <v>2003</v>
      </c>
      <c r="B5" t="n">
        <v>22039.91031411108</v>
      </c>
      <c r="C5" t="n">
        <v>4033.839401488694</v>
      </c>
      <c r="D5" t="n">
        <v>0.1620099412024479</v>
      </c>
      <c r="E5" t="n">
        <v>552.3121232390442</v>
      </c>
      <c r="F5" t="n">
        <v>837.0865781113661</v>
      </c>
      <c r="G5" t="n">
        <v>2091.743418673011</v>
      </c>
      <c r="H5" t="n">
        <v>514558.1538560356</v>
      </c>
      <c r="I5" t="n">
        <v>52798.07758511495</v>
      </c>
    </row>
    <row r="6">
      <c r="A6" t="n">
        <v>2004</v>
      </c>
      <c r="B6" t="n">
        <v>22606.82415704825</v>
      </c>
      <c r="C6" t="n">
        <v>4137.598417033543</v>
      </c>
      <c r="D6" t="n">
        <v>0.1620099412024483</v>
      </c>
      <c r="E6" t="n">
        <v>566.518777613938</v>
      </c>
      <c r="F6" t="n">
        <v>858.6182432635803</v>
      </c>
      <c r="G6" t="n">
        <v>2145.547553218842</v>
      </c>
      <c r="H6" t="n">
        <v>527793.695029287</v>
      </c>
      <c r="I6" t="n">
        <v>54156.15756987377</v>
      </c>
    </row>
    <row r="7">
      <c r="A7" t="n">
        <v>2005</v>
      </c>
      <c r="B7" t="n">
        <v>23188.32024196074</v>
      </c>
      <c r="C7" t="n">
        <v>4244.026337369949</v>
      </c>
      <c r="D7" t="n">
        <v>0.1620099412024477</v>
      </c>
      <c r="E7" t="n">
        <v>581.0908576603605</v>
      </c>
      <c r="F7" t="n">
        <v>880.7037491012737</v>
      </c>
      <c r="G7" t="n">
        <v>2200.735645695835</v>
      </c>
      <c r="H7" t="n">
        <v>541369.6827562188</v>
      </c>
      <c r="I7" t="n">
        <v>55549.17028948508</v>
      </c>
    </row>
    <row r="8">
      <c r="A8" t="n">
        <v>2006</v>
      </c>
      <c r="B8" t="n">
        <v>23784.77365543998</v>
      </c>
      <c r="C8" t="n">
        <v>4353.191812462843</v>
      </c>
      <c r="D8" t="n">
        <v>0.1620099412024482</v>
      </c>
      <c r="E8" t="n">
        <v>596.0377629116485</v>
      </c>
      <c r="F8" t="n">
        <v>903.3573415967256</v>
      </c>
      <c r="G8" t="n">
        <v>2257.343294475217</v>
      </c>
      <c r="H8" t="n">
        <v>555294.8740535952</v>
      </c>
      <c r="I8" t="n">
        <v>56978.01428893737</v>
      </c>
    </row>
    <row r="9">
      <c r="A9" t="n">
        <v>2007</v>
      </c>
      <c r="B9" t="n">
        <v>24396.56913211048</v>
      </c>
      <c r="C9" t="n">
        <v>4465.165258101872</v>
      </c>
      <c r="D9" t="n">
        <v>0.1620099412024482</v>
      </c>
      <c r="E9" t="n">
        <v>611.3691346773307</v>
      </c>
      <c r="F9" t="n">
        <v>926.5936331592301</v>
      </c>
      <c r="G9" t="n">
        <v>2315.407013594805</v>
      </c>
      <c r="H9" t="n">
        <v>569578.2511874617</v>
      </c>
      <c r="I9" t="n">
        <v>58443.61122572665</v>
      </c>
    </row>
    <row r="10">
      <c r="A10" t="n">
        <v>2008</v>
      </c>
      <c r="B10" t="n">
        <v>25024.10130279779</v>
      </c>
      <c r="C10" t="n">
        <v>4580.018901321997</v>
      </c>
      <c r="D10" t="n">
        <v>0.1620099412024485</v>
      </c>
      <c r="E10" t="n">
        <v>627.0948622621299</v>
      </c>
      <c r="F10" t="n">
        <v>950.4276120606372</v>
      </c>
      <c r="G10" t="n">
        <v>2374.964256311911</v>
      </c>
      <c r="H10" t="n">
        <v>584229.0274670471</v>
      </c>
      <c r="I10" t="n">
        <v>59946.90646435976</v>
      </c>
    </row>
    <row r="11">
      <c r="A11" t="n">
        <v>2009</v>
      </c>
      <c r="B11" t="n">
        <v>25667.77494908008</v>
      </c>
      <c r="C11" t="n">
        <v>4697.826826992681</v>
      </c>
      <c r="D11" t="n">
        <v>0.1620099412024488</v>
      </c>
      <c r="E11" t="n">
        <v>643.225089344932</v>
      </c>
      <c r="F11" t="n">
        <v>974.8746521033522</v>
      </c>
      <c r="G11" t="n">
        <v>2436.053439262088</v>
      </c>
      <c r="H11" t="n">
        <v>599256.6531876804</v>
      </c>
      <c r="I11" t="n">
        <v>61488.86968614964</v>
      </c>
    </row>
    <row r="12">
      <c r="A12" t="n">
        <v>2010</v>
      </c>
      <c r="B12" t="n">
        <v>26328.00526438738</v>
      </c>
      <c r="C12" t="n">
        <v>4818.665025605431</v>
      </c>
      <c r="D12" t="n">
        <v>0.162009941202448</v>
      </c>
      <c r="E12" t="n">
        <v>659.770220521835</v>
      </c>
      <c r="F12" t="n">
        <v>999.9505225370044</v>
      </c>
      <c r="G12" t="n">
        <v>2498.713967239293</v>
      </c>
      <c r="H12" t="n">
        <v>614670.8217265963</v>
      </c>
      <c r="I12" t="n">
        <v>63070.4955146958</v>
      </c>
    </row>
    <row r="13">
      <c r="A13" t="n">
        <v>2011</v>
      </c>
      <c r="B13" t="n">
        <v>27005.21812181666</v>
      </c>
      <c r="C13" t="n">
        <v>4942.611442290425</v>
      </c>
      <c r="D13" t="n">
        <v>0.162009941202448</v>
      </c>
      <c r="E13" t="n">
        <v>676.7409280175038</v>
      </c>
      <c r="F13" t="n">
        <v>1025.671398230204</v>
      </c>
      <c r="G13" t="n">
        <v>2562.986258613433</v>
      </c>
      <c r="H13" t="n">
        <v>630481.4757955142</v>
      </c>
      <c r="I13" t="n">
        <v>64692.8041574536</v>
      </c>
    </row>
    <row r="14">
      <c r="A14" t="n">
        <v>2012</v>
      </c>
      <c r="B14" t="n">
        <v>27699.85034883595</v>
      </c>
      <c r="C14" t="n">
        <v>5069.746027094097</v>
      </c>
      <c r="D14" t="n">
        <v>0.1620099412024482</v>
      </c>
      <c r="E14" t="n">
        <v>694.1481585691473</v>
      </c>
      <c r="F14" t="n">
        <v>1052.053870103928</v>
      </c>
      <c r="G14" t="n">
        <v>2628.911771401726</v>
      </c>
      <c r="H14" t="n">
        <v>646698.8138540599</v>
      </c>
      <c r="I14" t="n">
        <v>66356.84206380587</v>
      </c>
    </row>
    <row r="15">
      <c r="A15" t="n">
        <v>2013</v>
      </c>
      <c r="B15" t="n">
        <v>28412.35000905417</v>
      </c>
      <c r="C15" t="n">
        <v>5200.150786549755</v>
      </c>
      <c r="D15" t="n">
        <v>0.1620099412024484</v>
      </c>
      <c r="E15" t="n">
        <v>712.0031404875749</v>
      </c>
      <c r="F15" t="n">
        <v>1079.114955833288</v>
      </c>
      <c r="G15" t="n">
        <v>2696.533030010658</v>
      </c>
      <c r="H15" t="n">
        <v>663333.2966881477</v>
      </c>
      <c r="I15" t="n">
        <v>68063.68260006174</v>
      </c>
    </row>
    <row r="16">
      <c r="A16" t="n">
        <v>2014</v>
      </c>
      <c r="B16" t="n">
        <v>29143.1766912388</v>
      </c>
      <c r="C16" t="n">
        <v>5333.909836574894</v>
      </c>
      <c r="D16" t="n">
        <v>0.1620099412024489</v>
      </c>
      <c r="E16" t="n">
        <v>730.3173908998702</v>
      </c>
      <c r="F16" t="n">
        <v>1106.872110824556</v>
      </c>
      <c r="G16" t="n">
        <v>2765.893652665808</v>
      </c>
      <c r="H16" t="n">
        <v>680395.6541575835</v>
      </c>
      <c r="I16" t="n">
        <v>69814.42674181776</v>
      </c>
    </row>
    <row r="17">
      <c r="A17" t="n">
        <v>2015</v>
      </c>
      <c r="B17" t="n">
        <v>29892.80180576795</v>
      </c>
      <c r="C17" t="n">
        <v>5471.109456729304</v>
      </c>
      <c r="D17" t="n">
        <v>0.1620099412024481</v>
      </c>
      <c r="E17" t="n">
        <v>749.1027231783692</v>
      </c>
      <c r="F17" t="n">
        <v>1135.343239474558</v>
      </c>
      <c r="G17" t="n">
        <v>2837.038379547225</v>
      </c>
      <c r="H17" t="n">
        <v>697896.8921172179</v>
      </c>
      <c r="I17" t="n">
        <v>71610.20378412816</v>
      </c>
    </row>
    <row r="18">
      <c r="A18" t="n">
        <v>2016</v>
      </c>
      <c r="B18" t="n">
        <v>30661.70888870729</v>
      </c>
      <c r="C18" t="n">
        <v>5611.838145868234</v>
      </c>
      <c r="D18" t="n">
        <v>0.1620099412024479</v>
      </c>
      <c r="E18" t="n">
        <v>768.3712545607261</v>
      </c>
      <c r="F18" t="n">
        <v>1164.546706719667</v>
      </c>
      <c r="G18" t="n">
        <v>2910.013101648507</v>
      </c>
      <c r="H18" t="n">
        <v>715848.2995161299</v>
      </c>
      <c r="I18" t="n">
        <v>73452.17206994207</v>
      </c>
    </row>
    <row r="19">
      <c r="A19" t="n">
        <v>2017</v>
      </c>
      <c r="B19" t="n">
        <v>31450.39391370893</v>
      </c>
      <c r="C19" t="n">
        <v>5756.186679227671</v>
      </c>
      <c r="D19" t="n">
        <v>0.1620099412024477</v>
      </c>
      <c r="E19" t="n">
        <v>788.1354139659753</v>
      </c>
      <c r="F19" t="n">
        <v>1194.501349881876</v>
      </c>
      <c r="G19" t="n">
        <v>2984.864890378195</v>
      </c>
      <c r="H19" t="n">
        <v>734261.4556794247</v>
      </c>
      <c r="I19" t="n">
        <v>75341.51973727782</v>
      </c>
    </row>
    <row r="20">
      <c r="A20" t="n">
        <v>2018</v>
      </c>
      <c r="B20" t="n">
        <v>32259.36561193283</v>
      </c>
      <c r="C20" t="n">
        <v>5904.248166977704</v>
      </c>
      <c r="D20" t="n">
        <v>0.1620099412024477</v>
      </c>
      <c r="E20" t="n">
        <v>808.4079500116541</v>
      </c>
      <c r="F20" t="n">
        <v>1225.226490819571</v>
      </c>
      <c r="G20" t="n">
        <v>3061.642027922589</v>
      </c>
      <c r="H20" t="n">
        <v>753148.2377773236</v>
      </c>
      <c r="I20" t="n">
        <v>77279.46548561609</v>
      </c>
    </row>
    <row r="21">
      <c r="A21" t="n">
        <v>2019</v>
      </c>
      <c r="B21" t="n">
        <v>33089.1458001974</v>
      </c>
      <c r="C21" t="n">
        <v>6056.118114282086</v>
      </c>
      <c r="D21" t="n">
        <v>0.162009941202448</v>
      </c>
      <c r="E21" t="n">
        <v>829.20193923713</v>
      </c>
      <c r="F21" t="n">
        <v>1256.741948390841</v>
      </c>
      <c r="G21" t="n">
        <v>3140.394038389543</v>
      </c>
      <c r="H21" t="n">
        <v>772520.8284863872</v>
      </c>
      <c r="I21" t="n">
        <v>79267.25936200644</v>
      </c>
    </row>
    <row r="22">
      <c r="A22" t="n">
        <v>2020</v>
      </c>
      <c r="B22" t="n">
        <v>33940.26971757053</v>
      </c>
      <c r="C22" t="n">
        <v>6211.894482902338</v>
      </c>
      <c r="D22" t="n">
        <v>0.1620099412024482</v>
      </c>
      <c r="E22" t="n">
        <v>850.5307945384566</v>
      </c>
      <c r="F22" t="n">
        <v>1289.068051237388</v>
      </c>
      <c r="G22" t="n">
        <v>3221.171719753364</v>
      </c>
      <c r="H22" t="n">
        <v>792391.7238477826</v>
      </c>
      <c r="I22" t="n">
        <v>81306.18356739411</v>
      </c>
    </row>
    <row r="23">
      <c r="A23" t="n">
        <v>2021</v>
      </c>
      <c r="B23" t="n">
        <v>34813.28637061896</v>
      </c>
      <c r="C23" t="n">
        <v>6371.677754387238</v>
      </c>
      <c r="D23" t="n">
        <v>0.1620099412024473</v>
      </c>
      <c r="E23" t="n">
        <v>872.4082738201896</v>
      </c>
      <c r="F23" t="n">
        <v>1322.225650897249</v>
      </c>
      <c r="G23" t="n">
        <v>3304.02717662139</v>
      </c>
      <c r="H23" t="n">
        <v>812773.7413277059</v>
      </c>
      <c r="I23" t="n">
        <v>83397.55328368722</v>
      </c>
    </row>
    <row r="24">
      <c r="A24" t="n">
        <v>2022</v>
      </c>
      <c r="B24" t="n">
        <v>35708.75888753769</v>
      </c>
      <c r="C24" t="n">
        <v>6535.570994886704</v>
      </c>
      <c r="D24" t="n">
        <v>0.1620099412024484</v>
      </c>
      <c r="E24" t="n">
        <v>894.8484888697473</v>
      </c>
      <c r="F24" t="n">
        <v>1356.236135254818</v>
      </c>
      <c r="G24" t="n">
        <v>3389.013853843398</v>
      </c>
      <c r="H24" t="n">
        <v>833680.028085121</v>
      </c>
      <c r="I24" t="n">
        <v>85542.7175220981</v>
      </c>
    </row>
    <row r="25">
      <c r="A25" t="n">
        <v>2023</v>
      </c>
      <c r="B25" t="n">
        <v>36627.26488138882</v>
      </c>
      <c r="C25" t="n">
        <v>6703.679921633498</v>
      </c>
      <c r="D25" t="n">
        <v>0.162009941202448</v>
      </c>
      <c r="E25" t="n">
        <v>917.8659144600352</v>
      </c>
      <c r="F25" t="n">
        <v>1391.121442336823</v>
      </c>
      <c r="G25" t="n">
        <v>3476.186570985519</v>
      </c>
      <c r="H25" t="n">
        <v>855124.0694521669</v>
      </c>
      <c r="I25" t="n">
        <v>87743.05999330562</v>
      </c>
    </row>
    <row r="26">
      <c r="A26" t="n">
        <v>2024</v>
      </c>
      <c r="B26" t="n">
        <v>37569.39682268313</v>
      </c>
      <c r="C26" t="n">
        <v>6876.112971134633</v>
      </c>
      <c r="D26" t="n">
        <v>0.1620099412024488</v>
      </c>
      <c r="E26" t="n">
        <v>941.4753976862195</v>
      </c>
      <c r="F26" t="n">
        <v>1426.904074463168</v>
      </c>
      <c r="G26" t="n">
        <v>3565.601557690902</v>
      </c>
      <c r="H26" t="n">
        <v>877119.6976326874</v>
      </c>
      <c r="I26" t="n">
        <v>90000</v>
      </c>
    </row>
    <row r="27">
      <c r="A27" t="n">
        <v>2025</v>
      </c>
      <c r="B27" t="n">
        <v>38535.76242154599</v>
      </c>
      <c r="C27" t="n">
        <v>7052.981369117191</v>
      </c>
      <c r="D27" t="n">
        <v>0.1620099412024478</v>
      </c>
      <c r="E27" t="n">
        <v>965.6921675426455</v>
      </c>
      <c r="F27" t="n">
        <v>1463.607112761774</v>
      </c>
      <c r="G27" t="n">
        <v>3657.316489949913</v>
      </c>
      <c r="H27" t="n">
        <v>899681.100624535</v>
      </c>
      <c r="I27" t="n">
        <v>92314.99335238585</v>
      </c>
    </row>
    <row r="28">
      <c r="A28" t="n">
        <v>2026</v>
      </c>
      <c r="B28" t="n">
        <v>39526.98501971263</v>
      </c>
      <c r="C28" t="n">
        <v>7234.399202272809</v>
      </c>
      <c r="D28" t="n">
        <v>0.1620099412024481</v>
      </c>
      <c r="E28" t="n">
        <v>990.5318447461159</v>
      </c>
      <c r="F28" t="n">
        <v>1501.254232056754</v>
      </c>
      <c r="G28" t="n">
        <v>3751.390527303304</v>
      </c>
      <c r="H28" t="n">
        <v>922822.831371346</v>
      </c>
      <c r="I28" t="n">
        <v>94689.5333072338</v>
      </c>
    </row>
    <row r="29">
      <c r="A29" t="n">
        <v>2027</v>
      </c>
      <c r="B29" t="n">
        <v>40543.70399260699</v>
      </c>
      <c r="C29" t="n">
        <v>7420.483491848048</v>
      </c>
      <c r="D29" t="n">
        <v>0.162009941202448</v>
      </c>
      <c r="E29" t="n">
        <v>1016.010451811824</v>
      </c>
      <c r="F29" t="n">
        <v>1539.869716139558</v>
      </c>
      <c r="G29" t="n">
        <v>3847.884351002308</v>
      </c>
      <c r="H29" t="n">
        <v>946559.8171497277</v>
      </c>
      <c r="I29" t="n">
        <v>97125.15153108674</v>
      </c>
    </row>
    <row r="30">
      <c r="A30" t="n">
        <v>2028</v>
      </c>
      <c r="B30" t="n">
        <v>41586.57516176237</v>
      </c>
      <c r="C30" t="n">
        <v>7611.354269127114</v>
      </c>
      <c r="D30" t="n">
        <v>0.1620099412024486</v>
      </c>
      <c r="E30" t="n">
        <v>1042.144423388478</v>
      </c>
      <c r="F30" t="n">
        <v>1579.478473432929</v>
      </c>
      <c r="G30" t="n">
        <v>3946.860203150306</v>
      </c>
      <c r="H30" t="n">
        <v>970907.3691979224</v>
      </c>
      <c r="I30" t="n">
        <v>99623.41908824154</v>
      </c>
    </row>
    <row r="31">
      <c r="A31" t="n">
        <v>2029</v>
      </c>
      <c r="B31" t="n">
        <v>42656.27121785097</v>
      </c>
      <c r="C31" t="n">
        <v>7807.134652856912</v>
      </c>
      <c r="D31" t="n">
        <v>0.1620099412024482</v>
      </c>
      <c r="E31" t="n">
        <v>1068.95061685926</v>
      </c>
      <c r="F31" t="n">
        <v>1620.106053057749</v>
      </c>
      <c r="G31" t="n">
        <v>4048.381926851296</v>
      </c>
      <c r="H31" t="n">
        <v>995881.1925920923</v>
      </c>
      <c r="I31" t="n">
        <v>102185.9474541441</v>
      </c>
    </row>
    <row r="32">
      <c r="A32" t="n">
        <v>2030</v>
      </c>
      <c r="B32" t="n">
        <v>43753.48215459422</v>
      </c>
      <c r="C32" t="n">
        <v>8007.950928662998</v>
      </c>
      <c r="D32" t="n">
        <v>0.1620099412024487</v>
      </c>
      <c r="E32" t="n">
        <v>1096.446323215459</v>
      </c>
      <c r="F32" t="n">
        <v>1661.778661313178</v>
      </c>
      <c r="G32" t="n">
        <v>4152.515007391072</v>
      </c>
      <c r="H32" t="n">
        <v>1021497.396376723</v>
      </c>
      <c r="I32" t="n">
        <v>104814.3895548507</v>
      </c>
    </row>
    <row r="33">
      <c r="A33" t="n">
        <v>2031</v>
      </c>
      <c r="B33" t="n">
        <v>44878.91571383443</v>
      </c>
      <c r="C33" t="n">
        <v>8213.932630508389</v>
      </c>
      <c r="D33" t="n">
        <v>0.1620099412024483</v>
      </c>
      <c r="E33" t="n">
        <v>1124.649278209812</v>
      </c>
      <c r="F33" t="n">
        <v>1704.523178580697</v>
      </c>
      <c r="G33" t="n">
        <v>4259.326614477657</v>
      </c>
      <c r="H33" t="n">
        <v>1047772.503955518</v>
      </c>
      <c r="I33" t="n">
        <v>107510.4408332269</v>
      </c>
    </row>
    <row r="34">
      <c r="A34" t="n">
        <v>2032</v>
      </c>
      <c r="B34" t="n">
        <v>46033.29784205451</v>
      </c>
      <c r="C34" t="n">
        <v>8425.212624248044</v>
      </c>
      <c r="D34" t="n">
        <v>0.1620099412024486</v>
      </c>
      <c r="E34" t="n">
        <v>1153.577673796714</v>
      </c>
      <c r="F34" t="n">
        <v>1748.367176662941</v>
      </c>
      <c r="G34" t="n">
        <v>4368.885645568278</v>
      </c>
      <c r="H34" t="n">
        <v>1074723.463749625</v>
      </c>
      <c r="I34" t="n">
        <v>110275.8403425712</v>
      </c>
    </row>
    <row r="35">
      <c r="A35" t="n">
        <v>2033</v>
      </c>
      <c r="B35" t="n">
        <v>47217.37315864068</v>
      </c>
      <c r="C35" t="n">
        <v>8641.927193332165</v>
      </c>
      <c r="D35" t="n">
        <v>0.1620099412024473</v>
      </c>
      <c r="E35" t="n">
        <v>1183.250169866715</v>
      </c>
      <c r="F35" t="n">
        <v>1793.338936568543</v>
      </c>
      <c r="G35" t="n">
        <v>4481.262770310773</v>
      </c>
      <c r="H35" t="n">
        <v>1102367.66013</v>
      </c>
      <c r="I35" t="n">
        <v>113112.3718683692</v>
      </c>
    </row>
    <row r="36">
      <c r="A36" t="n">
        <v>2034</v>
      </c>
      <c r="B36" t="n">
        <v>48431.9054361893</v>
      </c>
      <c r="C36" t="n">
        <v>8864.21612671404</v>
      </c>
      <c r="D36" t="n">
        <v>0.1620099412024479</v>
      </c>
      <c r="E36" t="n">
        <v>1213.685906282836</v>
      </c>
      <c r="F36" t="n">
        <v>1839.467466754443</v>
      </c>
      <c r="G36" t="n">
        <v>4596.530476128146</v>
      </c>
      <c r="H36" t="n">
        <v>1130722.924630956</v>
      </c>
      <c r="I36" t="n">
        <v>116021.865078901</v>
      </c>
    </row>
    <row r="37">
      <c r="A37" t="n">
        <v>2035</v>
      </c>
      <c r="B37" t="n">
        <v>49677.67809316883</v>
      </c>
      <c r="C37" t="n">
        <v>9092.222809019098</v>
      </c>
      <c r="D37" t="n">
        <v>0.1620099412024484</v>
      </c>
      <c r="E37" t="n">
        <v>1244.904515226493</v>
      </c>
      <c r="F37" t="n">
        <v>1886.782521837405</v>
      </c>
      <c r="G37" t="n">
        <v>4714.763114975653</v>
      </c>
      <c r="H37" t="n">
        <v>1159807.547452188</v>
      </c>
      <c r="I37" t="n">
        <v>119006.1967054462</v>
      </c>
    </row>
    <row r="38">
      <c r="A38" t="n">
        <v>2036</v>
      </c>
      <c r="B38" t="n">
        <v>50955.49469925382</v>
      </c>
      <c r="C38" t="n">
        <v>9326.094313033427</v>
      </c>
      <c r="D38" t="n">
        <v>0.1620099412024483</v>
      </c>
      <c r="E38" t="n">
        <v>1276.926133860987</v>
      </c>
      <c r="F38" t="n">
        <v>1935.314621786864</v>
      </c>
      <c r="G38" t="n">
        <v>4836.03695130057</v>
      </c>
      <c r="H38" t="n">
        <v>1189640.289256619</v>
      </c>
      <c r="I38" t="n">
        <v>122067.2917528443</v>
      </c>
    </row>
    <row r="39">
      <c r="A39" t="n">
        <v>2037</v>
      </c>
      <c r="B39" t="n">
        <v>52266.1794936572</v>
      </c>
      <c r="C39" t="n">
        <v>9565.981494571155</v>
      </c>
      <c r="D39" t="n">
        <v>0.1620099412024483</v>
      </c>
      <c r="E39" t="n">
        <v>1309.771417320719</v>
      </c>
      <c r="F39" t="n">
        <v>1985.095071611439</v>
      </c>
      <c r="G39" t="n">
        <v>4960.430211235604</v>
      </c>
      <c r="H39" t="n">
        <v>1220240.393271724</v>
      </c>
      <c r="I39" t="n">
        <v>125207.1247411951</v>
      </c>
    </row>
    <row r="40">
      <c r="A40" t="n">
        <v>2038</v>
      </c>
      <c r="B40" t="n">
        <v>53610.57791679524</v>
      </c>
      <c r="C40" t="n">
        <v>9812.039089782025</v>
      </c>
      <c r="D40" t="n">
        <v>0.1620099412024477</v>
      </c>
      <c r="E40" t="n">
        <v>1343.461552034525</v>
      </c>
      <c r="F40" t="n">
        <v>2036.15598155182</v>
      </c>
      <c r="G40" t="n">
        <v>5088.023133057653</v>
      </c>
      <c r="H40" t="n">
        <v>1251627.597702132</v>
      </c>
      <c r="I40" t="n">
        <v>128427.7209794975</v>
      </c>
    </row>
    <row r="41">
      <c r="A41" t="n">
        <v>2039</v>
      </c>
      <c r="B41" t="n">
        <v>54989.55715562791</v>
      </c>
      <c r="C41" t="n">
        <v>10064.42581496194</v>
      </c>
      <c r="D41" t="n">
        <v>0.1620099412024484</v>
      </c>
      <c r="E41" t="n">
        <v>1378.018269391701</v>
      </c>
      <c r="F41" t="n">
        <v>2088.530287793078</v>
      </c>
      <c r="G41" t="n">
        <v>5218.898018944473</v>
      </c>
      <c r="H41" t="n">
        <v>1283822.1484615</v>
      </c>
      <c r="I41" t="n">
        <v>131731.1578720486</v>
      </c>
    </row>
    <row r="42">
      <c r="A42" t="n">
        <v>2040</v>
      </c>
      <c r="B42" t="n">
        <v>56404.00670302704</v>
      </c>
      <c r="C42" t="n">
        <v>10323.30446893108</v>
      </c>
      <c r="D42" t="n">
        <v>0.1620099412024485</v>
      </c>
      <c r="E42" t="n">
        <v>1413.463859759568</v>
      </c>
      <c r="F42" t="n">
        <v>2142.251773709716</v>
      </c>
      <c r="G42" t="n">
        <v>5353.139288062652</v>
      </c>
      <c r="H42" t="n">
        <v>1316844.812231877</v>
      </c>
      <c r="I42" t="n">
        <v>135119.5662584473</v>
      </c>
    </row>
    <row r="43">
      <c r="A43" t="n">
        <v>2041</v>
      </c>
      <c r="B43" t="n">
        <v>57854.83893153181</v>
      </c>
      <c r="C43" t="n">
        <v>10588.84203804468</v>
      </c>
      <c r="D43" t="n">
        <v>0.1620099412024483</v>
      </c>
      <c r="E43" t="n">
        <v>1449.821186861579</v>
      </c>
      <c r="F43" t="n">
        <v>2197.355091657213</v>
      </c>
      <c r="G43" t="n">
        <v>5490.833531021101</v>
      </c>
      <c r="H43" t="n">
        <v>1350716.889858997</v>
      </c>
      <c r="I43" t="n">
        <v>138595.1317880647</v>
      </c>
    </row>
    <row r="44">
      <c r="A44" t="n">
        <v>2042</v>
      </c>
      <c r="B44" t="n">
        <v>59342.98968186351</v>
      </c>
      <c r="C44" t="n">
        <v>10861.20980390624</v>
      </c>
      <c r="D44" t="n">
        <v>0.1620099412024476</v>
      </c>
      <c r="E44" t="n">
        <v>1487.113702525276</v>
      </c>
      <c r="F44" t="n">
        <v>2253.875785324074</v>
      </c>
      <c r="G44" t="n">
        <v>5632.069565725224</v>
      </c>
      <c r="H44" t="n">
        <v>1385460.230092094</v>
      </c>
      <c r="I44" t="n">
        <v>142160.0963298692</v>
      </c>
    </row>
    <row r="45">
      <c r="A45" t="n">
        <v>2043</v>
      </c>
      <c r="B45" t="n">
        <v>60869.41886657702</v>
      </c>
      <c r="C45" t="n">
        <v>11140.58345384967</v>
      </c>
      <c r="D45" t="n">
        <v>0.1620099412024476</v>
      </c>
      <c r="E45" t="n">
        <v>1525.365461809586</v>
      </c>
      <c r="F45" t="n">
        <v>2311.850312658838</v>
      </c>
      <c r="G45" t="n">
        <v>5776.938494667763</v>
      </c>
      <c r="H45" t="n">
        <v>1421097.243677185</v>
      </c>
      <c r="I45" t="n">
        <v>145816.7594185156</v>
      </c>
    </row>
    <row r="46">
      <c r="A46" t="n">
        <v>2044</v>
      </c>
      <c r="B46" t="n">
        <v>62435.11108924053</v>
      </c>
      <c r="C46" t="n">
        <v>11427.14319426486</v>
      </c>
      <c r="D46" t="n">
        <v>0.1620099412024484</v>
      </c>
      <c r="E46" t="n">
        <v>1564.601138521233</v>
      </c>
      <c r="F46" t="n">
        <v>2371.316069386796</v>
      </c>
      <c r="G46" t="n">
        <v>5925.533763693294</v>
      </c>
      <c r="H46" t="n">
        <v>1457650.917812816</v>
      </c>
      <c r="I46" t="n">
        <v>149567.4797376302</v>
      </c>
    </row>
    <row r="47">
      <c r="A47" t="n">
        <v>2045</v>
      </c>
      <c r="B47" t="n">
        <v>64041.07627954122</v>
      </c>
      <c r="C47" t="n">
        <v>11721.07386683684</v>
      </c>
      <c r="D47" t="n">
        <v>0.1620099412024479</v>
      </c>
      <c r="E47" t="n">
        <v>1604.846041130254</v>
      </c>
      <c r="F47" t="n">
        <v>2432.311413131643</v>
      </c>
      <c r="G47" t="n">
        <v>6077.95122227427</v>
      </c>
      <c r="H47" t="n">
        <v>1495144.830977655</v>
      </c>
      <c r="I47" t="n">
        <v>153414.6766412492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13" customWidth="1" min="3" max="3"/>
    <col width="13" customWidth="1" min="4" max="4"/>
    <col width="13" customWidth="1" min="5" max="5"/>
    <col width="13" customWidth="1" min="6" max="6"/>
    <col width="50" customWidth="1" min="7" max="7"/>
  </cols>
  <sheetData>
    <row r="1">
      <c r="A1" s="3" t="inlineStr">
        <is>
          <t>Eligibility scenarios (point prevalence of US PD meeting label-style criteria, cap 75). Product P = r×w×c is calibrated so DBS under cap = FY2019 volume. Central = 8% (★).</t>
        </is>
      </c>
    </row>
    <row r="2">
      <c r="A2" s="1" t="inlineStr">
        <is>
          <t>Row</t>
        </is>
      </c>
      <c r="B2" s="1" t="inlineStr">
        <is>
          <t>Measure</t>
        </is>
      </c>
      <c r="C2" s="1" t="inlineStr">
        <is>
          <t>Case 5%</t>
        </is>
      </c>
      <c r="D2" s="1" t="inlineStr">
        <is>
          <t>Case 8%</t>
        </is>
      </c>
      <c r="E2" s="1" t="inlineStr">
        <is>
          <t>Case 10%</t>
        </is>
      </c>
      <c r="F2" s="1" t="inlineStr">
        <is>
          <t>Case 15%</t>
        </is>
      </c>
      <c r="G2" s="1" t="inlineStr">
        <is>
          <t>Note</t>
        </is>
      </c>
    </row>
    <row r="3">
      <c r="A3" t="n">
        <v>3</v>
      </c>
      <c r="B3" t="inlineStr">
        <is>
          <t>Eligible, point prevalence (input)</t>
        </is>
      </c>
      <c r="C3" s="2" t="n">
        <v>0.05</v>
      </c>
      <c r="D3" s="2" t="n">
        <v>0.08</v>
      </c>
      <c r="E3" s="2" t="n">
        <v>0.1</v>
      </c>
      <c r="F3" s="2" t="n">
        <v>0.15</v>
      </c>
    </row>
    <row r="4">
      <c r="A4" t="n">
        <v>4</v>
      </c>
      <c r="B4" t="inlineStr">
        <is>
          <t>Scale on published screens g</t>
        </is>
      </c>
      <c r="C4">
        <f>C3/Inputs!$C$26</f>
        <v/>
      </c>
      <c r="D4">
        <f>D3/Inputs!$C$26</f>
        <v/>
      </c>
      <c r="E4">
        <f>E3/Inputs!$C$26</f>
        <v/>
      </c>
      <c r="F4">
        <f>F3/Inputs!$C$26</f>
        <v/>
      </c>
    </row>
    <row r="5">
      <c r="A5" t="n">
        <v>5</v>
      </c>
      <c r="B5" t="inlineStr">
        <is>
          <t>Calibrated product P = r×w×c</t>
        </is>
      </c>
      <c r="C5">
        <f>Inputs!$C$25/(C4*Inputs!$C$27)</f>
        <v/>
      </c>
      <c r="D5">
        <f>Inputs!$C$25/(D4*Inputs!$C$27)</f>
        <v/>
      </c>
      <c r="E5">
        <f>Inputs!$C$25/(E4*Inputs!$C$27)</f>
        <v/>
      </c>
      <c r="F5">
        <f>Inputs!$C$25/(F4*Inputs!$C$27)</f>
        <v/>
      </c>
      <c r="G5" t="inlineStr">
        <is>
          <t>Only calibrated quantity</t>
        </is>
      </c>
    </row>
    <row r="6">
      <c r="A6" t="n">
        <v>6</v>
      </c>
      <c r="B6" t="inlineStr">
        <is>
          <t>Lifetime fraction ever eligible</t>
        </is>
      </c>
      <c r="C6">
        <f>Inputs!$C$28*C4</f>
        <v/>
      </c>
      <c r="D6">
        <f>Inputs!$C$28*D4</f>
        <v/>
      </c>
      <c r="E6">
        <f>Inputs!$C$28*E4</f>
        <v/>
      </c>
      <c r="F6">
        <f>Inputs!$C$28*F4</f>
        <v/>
      </c>
    </row>
    <row r="7">
      <c r="A7" t="n">
        <v>7</v>
      </c>
      <c r="B7" t="inlineStr">
        <is>
          <t>Implied s ≈ LF × YE / YD (check)</t>
        </is>
      </c>
      <c r="C7">
        <f>C6*Inputs!$C$29/Inputs!$C$30</f>
        <v/>
      </c>
      <c r="D7">
        <f>D6*Inputs!$C$29/Inputs!$C$30</f>
        <v/>
      </c>
      <c r="E7">
        <f>E6*Inputs!$C$29/Inputs!$C$30</f>
        <v/>
      </c>
      <c r="F7">
        <f>F6*Inputs!$C$29/Inputs!$C$30</f>
        <v/>
      </c>
      <c r="G7" t="inlineStr">
        <is>
          <t>Differs from row 3 by growth and age mix</t>
        </is>
      </c>
    </row>
    <row r="8">
      <c r="A8" t="n">
        <v>8</v>
      </c>
      <c r="B8" t="inlineStr">
        <is>
          <t>Eligible stock FY2026</t>
        </is>
      </c>
      <c r="C8">
        <f>C4*Cohort!B28</f>
        <v/>
      </c>
      <c r="D8">
        <f>D4*Cohort!B28</f>
        <v/>
      </c>
      <c r="E8">
        <f>E4*Cohort!B28</f>
        <v/>
      </c>
      <c r="F8">
        <f>F4*Cohort!B28</f>
        <v/>
      </c>
    </row>
    <row r="9">
      <c r="A9" t="n">
        <v>9</v>
      </c>
      <c r="B9" t="inlineStr">
        <is>
          <t>Newly eligible FY2026</t>
        </is>
      </c>
      <c r="C9">
        <f>C4*Cohort!C28</f>
        <v/>
      </c>
      <c r="D9">
        <f>D4*Cohort!C28</f>
        <v/>
      </c>
      <c r="E9">
        <f>E4*Cohort!C28</f>
        <v/>
      </c>
      <c r="F9">
        <f>F4*Cohort!C28</f>
        <v/>
      </c>
    </row>
    <row r="10">
      <c r="A10" t="n">
        <v>10</v>
      </c>
      <c r="B10" t="inlineStr">
        <is>
          <t>Olmsted-implied lifetime eligible = 4.8% ÷ P</t>
        </is>
      </c>
      <c r="C10">
        <f>Inputs!$C$22/C5</f>
        <v/>
      </c>
      <c r="D10">
        <f>Inputs!$C$22/D5</f>
        <v/>
      </c>
      <c r="E10">
        <f>Inputs!$C$22/E5</f>
        <v/>
      </c>
      <c r="F10">
        <f>Inputs!$C$22/F5</f>
        <v/>
      </c>
    </row>
    <row r="11">
      <c r="A11" t="n">
        <v>11</v>
      </c>
      <c r="B11" t="inlineStr">
        <is>
          <t>Model ever-DBS share of incidence = LF × P</t>
        </is>
      </c>
      <c r="C11">
        <f>C6*C5</f>
        <v/>
      </c>
      <c r="D11">
        <f>D6*D5</f>
        <v/>
      </c>
      <c r="E11">
        <f>E6*E5</f>
        <v/>
      </c>
      <c r="F11">
        <f>F6*F5</f>
        <v/>
      </c>
      <c r="G11" t="inlineStr">
        <is>
          <t>Same for every case: it is pinned by DBS volume ÷ incidence</t>
        </is>
      </c>
    </row>
    <row r="12">
      <c r="A12" t="n">
        <v>12</v>
      </c>
      <c r="B12" t="inlineStr">
        <is>
          <t>Judgment product r×w×c</t>
        </is>
      </c>
      <c r="C12">
        <f>Inputs!$C$31</f>
        <v/>
      </c>
      <c r="D12">
        <f>Inputs!$C$31</f>
        <v/>
      </c>
      <c r="E12">
        <f>Inputs!$C$31</f>
        <v/>
      </c>
      <c r="F12">
        <f>Inputs!$C$31</f>
        <v/>
      </c>
    </row>
    <row r="13">
      <c r="A13" t="n">
        <v>13</v>
      </c>
      <c r="B13" t="inlineStr">
        <is>
          <t>DBS FY2019 implied at judgment product</t>
        </is>
      </c>
      <c r="C13">
        <f>Inputs!$C$31*C4*Inputs!$C$27</f>
        <v/>
      </c>
      <c r="D13">
        <f>Inputs!$C$31*D4*Inputs!$C$27</f>
        <v/>
      </c>
      <c r="E13">
        <f>Inputs!$C$31*E4*Inputs!$C$27</f>
        <v/>
      </c>
      <c r="F13">
        <f>Inputs!$C$31*F4*Inputs!$C$27</f>
        <v/>
      </c>
    </row>
    <row r="14">
      <c r="A14" t="n">
        <v>14</v>
      </c>
      <c r="B14" t="inlineStr">
        <is>
          <t>Plausibility (P within 0.10–0.65; central 0.30)</t>
        </is>
      </c>
      <c r="C14">
        <f>IF(OR(C5&gt;0.65,C5&lt;0.1),"implausible",IF(OR(C5&gt;0.45,C5&lt;0.18),"edge of range","plausible"))</f>
        <v/>
      </c>
      <c r="D14">
        <f>IF(OR(D5&gt;0.65,D5&lt;0.1),"implausible",IF(OR(D5&gt;0.45,D5&lt;0.18),"edge of range","plausible"))</f>
        <v/>
      </c>
      <c r="E14">
        <f>IF(OR(E5&gt;0.65,E5&lt;0.1),"implausible",IF(OR(E5&gt;0.45,E5&lt;0.18),"edge of range","plausible"))</f>
        <v/>
      </c>
      <c r="F14">
        <f>IF(OR(F5&gt;0.65,F5&lt;0.1),"implausible",IF(OR(F5&gt;0.45,F5&lt;0.18),"edge of range","plausible"))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3" t="inlineStr">
        <is>
          <t>Eligibility case 5%. Eligible = Cohort × g; funnel inflow = newly eligible × P. Pre-launch DBS = MIN(DBS under cap, pool). After launch: A keeps DBS and the one-time therapy draws kf of the backlog; B replaces DBS (DBS-equivalent volume + kf of backlog). Rows before FY2026 grouped.</t>
        </is>
      </c>
    </row>
    <row r="2">
      <c r="A2" s="1" t="inlineStr">
        <is>
          <t>FY</t>
        </is>
      </c>
      <c r="B2" s="1" t="inlineStr">
        <is>
          <t>Eligible stock</t>
        </is>
      </c>
      <c r="C2" s="1" t="inlineStr">
        <is>
          <t>Newly eligible</t>
        </is>
      </c>
      <c r="D2" s="1" t="inlineStr">
        <is>
          <t>Exit μ</t>
        </is>
      </c>
      <c r="E2" s="1" t="inlineStr">
        <is>
          <t>Deaths</t>
        </is>
      </c>
      <c r="F2" s="1" t="inlineStr">
        <is>
          <t>Dementia</t>
        </is>
      </c>
      <c r="G2" s="1" t="inlineStr">
        <is>
          <t>Aged past cap</t>
        </is>
      </c>
      <c r="H2" s="1" t="inlineStr">
        <is>
          <t>Funnel inflow (×P)</t>
        </is>
      </c>
      <c r="I2" s="1" t="inlineStr">
        <is>
          <t>A: pool available</t>
        </is>
      </c>
      <c r="J2" s="1" t="inlineStr">
        <is>
          <t>A: DBS</t>
        </is>
      </c>
      <c r="K2" s="1" t="inlineStr">
        <is>
          <t>A: one-time</t>
        </is>
      </c>
      <c r="L2" s="1" t="inlineStr">
        <is>
          <t>A: backlog end</t>
        </is>
      </c>
      <c r="M2" s="1" t="inlineStr">
        <is>
          <t>A: $M</t>
        </is>
      </c>
      <c r="N2" s="1" t="inlineStr">
        <is>
          <t>B: pool available</t>
        </is>
      </c>
      <c r="O2" s="1" t="inlineStr">
        <is>
          <t>B: DBS</t>
        </is>
      </c>
      <c r="P2" s="1" t="inlineStr">
        <is>
          <t>B: one-time</t>
        </is>
      </c>
      <c r="Q2" s="1" t="inlineStr">
        <is>
          <t>B: backlog end</t>
        </is>
      </c>
      <c r="R2" s="1" t="inlineStr">
        <is>
          <t>B: $M</t>
        </is>
      </c>
      <c r="S2" s="1" t="inlineStr">
        <is>
          <t>PD prevalent</t>
        </is>
      </c>
      <c r="T2" s="1" t="inlineStr">
        <is>
          <t>Eligible % of PD</t>
        </is>
      </c>
    </row>
    <row r="3">
      <c r="A3" t="n">
        <v>2000</v>
      </c>
      <c r="L3" t="n">
        <v>0</v>
      </c>
      <c r="Q3" t="n">
        <v>0</v>
      </c>
    </row>
    <row r="4" hidden="1" outlineLevel="1">
      <c r="A4" t="n">
        <v>2001</v>
      </c>
      <c r="B4">
        <f>Cohort!B3*Scenarios!$C$4</f>
        <v/>
      </c>
      <c r="C4">
        <f>Cohort!C3*Scenarios!$C$4</f>
        <v/>
      </c>
      <c r="D4">
        <f>Cohort!D3</f>
        <v/>
      </c>
      <c r="E4">
        <f>Cohort!E3*Scenarios!$C$4</f>
        <v/>
      </c>
      <c r="F4">
        <f>Cohort!F3*Scenarios!$C$4</f>
        <v/>
      </c>
      <c r="G4">
        <f>Cohort!G3*Scenarios!$C$4</f>
        <v/>
      </c>
      <c r="H4">
        <f>C4*Scenarios!$C$5</f>
        <v/>
      </c>
      <c r="I4">
        <f>L3*(1-D4)+H4</f>
        <v/>
      </c>
      <c r="J4">
        <f>MIN(Inputs!$C$25,I4)</f>
        <v/>
      </c>
      <c r="K4">
        <f>IF(A4&lt;Inputs!$C$17,0,Inputs!$C$16*(I4-J4))</f>
        <v/>
      </c>
      <c r="L4">
        <f>I4-J4-K4</f>
        <v/>
      </c>
      <c r="M4">
        <f>K4*Inputs!$C$18</f>
        <v/>
      </c>
      <c r="N4">
        <f>Q3*(1-D4)+H4</f>
        <v/>
      </c>
      <c r="O4">
        <f>IF(A4&lt;Inputs!$C$17,MIN(Inputs!$C$25,N4),0)</f>
        <v/>
      </c>
      <c r="P4">
        <f>IF(A4&lt;Inputs!$C$17,0,MIN(Inputs!$C$25,N4)+Inputs!$C$16*(N4-MIN(Inputs!$C$25,N4)))</f>
        <v/>
      </c>
      <c r="Q4">
        <f>N4-O4-P4</f>
        <v/>
      </c>
      <c r="R4">
        <f>P4*Inputs!$C$18</f>
        <v/>
      </c>
      <c r="S4">
        <f>Cohort!H3</f>
        <v/>
      </c>
      <c r="T4">
        <f>B4/S4</f>
        <v/>
      </c>
    </row>
    <row r="5" hidden="1" outlineLevel="1">
      <c r="A5" t="n">
        <v>2002</v>
      </c>
      <c r="B5">
        <f>Cohort!B4*Scenarios!$C$4</f>
        <v/>
      </c>
      <c r="C5">
        <f>Cohort!C4*Scenarios!$C$4</f>
        <v/>
      </c>
      <c r="D5">
        <f>Cohort!D4</f>
        <v/>
      </c>
      <c r="E5">
        <f>Cohort!E4*Scenarios!$C$4</f>
        <v/>
      </c>
      <c r="F5">
        <f>Cohort!F4*Scenarios!$C$4</f>
        <v/>
      </c>
      <c r="G5">
        <f>Cohort!G4*Scenarios!$C$4</f>
        <v/>
      </c>
      <c r="H5">
        <f>C5*Scenarios!$C$5</f>
        <v/>
      </c>
      <c r="I5">
        <f>L4*(1-D5)+H5</f>
        <v/>
      </c>
      <c r="J5">
        <f>MIN(Inputs!$C$25,I5)</f>
        <v/>
      </c>
      <c r="K5">
        <f>IF(A5&lt;Inputs!$C$17,0,Inputs!$C$16*(I5-J5))</f>
        <v/>
      </c>
      <c r="L5">
        <f>I5-J5-K5</f>
        <v/>
      </c>
      <c r="M5">
        <f>K5*Inputs!$C$18</f>
        <v/>
      </c>
      <c r="N5">
        <f>Q4*(1-D5)+H5</f>
        <v/>
      </c>
      <c r="O5">
        <f>IF(A5&lt;Inputs!$C$17,MIN(Inputs!$C$25,N5),0)</f>
        <v/>
      </c>
      <c r="P5">
        <f>IF(A5&lt;Inputs!$C$17,0,MIN(Inputs!$C$25,N5)+Inputs!$C$16*(N5-MIN(Inputs!$C$25,N5)))</f>
        <v/>
      </c>
      <c r="Q5">
        <f>N5-O5-P5</f>
        <v/>
      </c>
      <c r="R5">
        <f>P5*Inputs!$C$18</f>
        <v/>
      </c>
      <c r="S5">
        <f>Cohort!H4</f>
        <v/>
      </c>
      <c r="T5">
        <f>B5/S5</f>
        <v/>
      </c>
    </row>
    <row r="6" hidden="1" outlineLevel="1">
      <c r="A6" t="n">
        <v>2003</v>
      </c>
      <c r="B6">
        <f>Cohort!B5*Scenarios!$C$4</f>
        <v/>
      </c>
      <c r="C6">
        <f>Cohort!C5*Scenarios!$C$4</f>
        <v/>
      </c>
      <c r="D6">
        <f>Cohort!D5</f>
        <v/>
      </c>
      <c r="E6">
        <f>Cohort!E5*Scenarios!$C$4</f>
        <v/>
      </c>
      <c r="F6">
        <f>Cohort!F5*Scenarios!$C$4</f>
        <v/>
      </c>
      <c r="G6">
        <f>Cohort!G5*Scenarios!$C$4</f>
        <v/>
      </c>
      <c r="H6">
        <f>C6*Scenarios!$C$5</f>
        <v/>
      </c>
      <c r="I6">
        <f>L5*(1-D6)+H6</f>
        <v/>
      </c>
      <c r="J6">
        <f>MIN(Inputs!$C$25,I6)</f>
        <v/>
      </c>
      <c r="K6">
        <f>IF(A6&lt;Inputs!$C$17,0,Inputs!$C$16*(I6-J6))</f>
        <v/>
      </c>
      <c r="L6">
        <f>I6-J6-K6</f>
        <v/>
      </c>
      <c r="M6">
        <f>K6*Inputs!$C$18</f>
        <v/>
      </c>
      <c r="N6">
        <f>Q5*(1-D6)+H6</f>
        <v/>
      </c>
      <c r="O6">
        <f>IF(A6&lt;Inputs!$C$17,MIN(Inputs!$C$25,N6),0)</f>
        <v/>
      </c>
      <c r="P6">
        <f>IF(A6&lt;Inputs!$C$17,0,MIN(Inputs!$C$25,N6)+Inputs!$C$16*(N6-MIN(Inputs!$C$25,N6)))</f>
        <v/>
      </c>
      <c r="Q6">
        <f>N6-O6-P6</f>
        <v/>
      </c>
      <c r="R6">
        <f>P6*Inputs!$C$18</f>
        <v/>
      </c>
      <c r="S6">
        <f>Cohort!H5</f>
        <v/>
      </c>
      <c r="T6">
        <f>B6/S6</f>
        <v/>
      </c>
    </row>
    <row r="7" hidden="1" outlineLevel="1">
      <c r="A7" t="n">
        <v>2004</v>
      </c>
      <c r="B7">
        <f>Cohort!B6*Scenarios!$C$4</f>
        <v/>
      </c>
      <c r="C7">
        <f>Cohort!C6*Scenarios!$C$4</f>
        <v/>
      </c>
      <c r="D7">
        <f>Cohort!D6</f>
        <v/>
      </c>
      <c r="E7">
        <f>Cohort!E6*Scenarios!$C$4</f>
        <v/>
      </c>
      <c r="F7">
        <f>Cohort!F6*Scenarios!$C$4</f>
        <v/>
      </c>
      <c r="G7">
        <f>Cohort!G6*Scenarios!$C$4</f>
        <v/>
      </c>
      <c r="H7">
        <f>C7*Scenarios!$C$5</f>
        <v/>
      </c>
      <c r="I7">
        <f>L6*(1-D7)+H7</f>
        <v/>
      </c>
      <c r="J7">
        <f>MIN(Inputs!$C$25,I7)</f>
        <v/>
      </c>
      <c r="K7">
        <f>IF(A7&lt;Inputs!$C$17,0,Inputs!$C$16*(I7-J7))</f>
        <v/>
      </c>
      <c r="L7">
        <f>I7-J7-K7</f>
        <v/>
      </c>
      <c r="M7">
        <f>K7*Inputs!$C$18</f>
        <v/>
      </c>
      <c r="N7">
        <f>Q6*(1-D7)+H7</f>
        <v/>
      </c>
      <c r="O7">
        <f>IF(A7&lt;Inputs!$C$17,MIN(Inputs!$C$25,N7),0)</f>
        <v/>
      </c>
      <c r="P7">
        <f>IF(A7&lt;Inputs!$C$17,0,MIN(Inputs!$C$25,N7)+Inputs!$C$16*(N7-MIN(Inputs!$C$25,N7)))</f>
        <v/>
      </c>
      <c r="Q7">
        <f>N7-O7-P7</f>
        <v/>
      </c>
      <c r="R7">
        <f>P7*Inputs!$C$18</f>
        <v/>
      </c>
      <c r="S7">
        <f>Cohort!H6</f>
        <v/>
      </c>
      <c r="T7">
        <f>B7/S7</f>
        <v/>
      </c>
    </row>
    <row r="8" hidden="1" outlineLevel="1">
      <c r="A8" t="n">
        <v>2005</v>
      </c>
      <c r="B8">
        <f>Cohort!B7*Scenarios!$C$4</f>
        <v/>
      </c>
      <c r="C8">
        <f>Cohort!C7*Scenarios!$C$4</f>
        <v/>
      </c>
      <c r="D8">
        <f>Cohort!D7</f>
        <v/>
      </c>
      <c r="E8">
        <f>Cohort!E7*Scenarios!$C$4</f>
        <v/>
      </c>
      <c r="F8">
        <f>Cohort!F7*Scenarios!$C$4</f>
        <v/>
      </c>
      <c r="G8">
        <f>Cohort!G7*Scenarios!$C$4</f>
        <v/>
      </c>
      <c r="H8">
        <f>C8*Scenarios!$C$5</f>
        <v/>
      </c>
      <c r="I8">
        <f>L7*(1-D8)+H8</f>
        <v/>
      </c>
      <c r="J8">
        <f>MIN(Inputs!$C$25,I8)</f>
        <v/>
      </c>
      <c r="K8">
        <f>IF(A8&lt;Inputs!$C$17,0,Inputs!$C$16*(I8-J8))</f>
        <v/>
      </c>
      <c r="L8">
        <f>I8-J8-K8</f>
        <v/>
      </c>
      <c r="M8">
        <f>K8*Inputs!$C$18</f>
        <v/>
      </c>
      <c r="N8">
        <f>Q7*(1-D8)+H8</f>
        <v/>
      </c>
      <c r="O8">
        <f>IF(A8&lt;Inputs!$C$17,MIN(Inputs!$C$25,N8),0)</f>
        <v/>
      </c>
      <c r="P8">
        <f>IF(A8&lt;Inputs!$C$17,0,MIN(Inputs!$C$25,N8)+Inputs!$C$16*(N8-MIN(Inputs!$C$25,N8)))</f>
        <v/>
      </c>
      <c r="Q8">
        <f>N8-O8-P8</f>
        <v/>
      </c>
      <c r="R8">
        <f>P8*Inputs!$C$18</f>
        <v/>
      </c>
      <c r="S8">
        <f>Cohort!H7</f>
        <v/>
      </c>
      <c r="T8">
        <f>B8/S8</f>
        <v/>
      </c>
    </row>
    <row r="9" hidden="1" outlineLevel="1">
      <c r="A9" t="n">
        <v>2006</v>
      </c>
      <c r="B9">
        <f>Cohort!B8*Scenarios!$C$4</f>
        <v/>
      </c>
      <c r="C9">
        <f>Cohort!C8*Scenarios!$C$4</f>
        <v/>
      </c>
      <c r="D9">
        <f>Cohort!D8</f>
        <v/>
      </c>
      <c r="E9">
        <f>Cohort!E8*Scenarios!$C$4</f>
        <v/>
      </c>
      <c r="F9">
        <f>Cohort!F8*Scenarios!$C$4</f>
        <v/>
      </c>
      <c r="G9">
        <f>Cohort!G8*Scenarios!$C$4</f>
        <v/>
      </c>
      <c r="H9">
        <f>C9*Scenarios!$C$5</f>
        <v/>
      </c>
      <c r="I9">
        <f>L8*(1-D9)+H9</f>
        <v/>
      </c>
      <c r="J9">
        <f>MIN(Inputs!$C$25,I9)</f>
        <v/>
      </c>
      <c r="K9">
        <f>IF(A9&lt;Inputs!$C$17,0,Inputs!$C$16*(I9-J9))</f>
        <v/>
      </c>
      <c r="L9">
        <f>I9-J9-K9</f>
        <v/>
      </c>
      <c r="M9">
        <f>K9*Inputs!$C$18</f>
        <v/>
      </c>
      <c r="N9">
        <f>Q8*(1-D9)+H9</f>
        <v/>
      </c>
      <c r="O9">
        <f>IF(A9&lt;Inputs!$C$17,MIN(Inputs!$C$25,N9),0)</f>
        <v/>
      </c>
      <c r="P9">
        <f>IF(A9&lt;Inputs!$C$17,0,MIN(Inputs!$C$25,N9)+Inputs!$C$16*(N9-MIN(Inputs!$C$25,N9)))</f>
        <v/>
      </c>
      <c r="Q9">
        <f>N9-O9-P9</f>
        <v/>
      </c>
      <c r="R9">
        <f>P9*Inputs!$C$18</f>
        <v/>
      </c>
      <c r="S9">
        <f>Cohort!H8</f>
        <v/>
      </c>
      <c r="T9">
        <f>B9/S9</f>
        <v/>
      </c>
    </row>
    <row r="10" hidden="1" outlineLevel="1">
      <c r="A10" t="n">
        <v>2007</v>
      </c>
      <c r="B10">
        <f>Cohort!B9*Scenarios!$C$4</f>
        <v/>
      </c>
      <c r="C10">
        <f>Cohort!C9*Scenarios!$C$4</f>
        <v/>
      </c>
      <c r="D10">
        <f>Cohort!D9</f>
        <v/>
      </c>
      <c r="E10">
        <f>Cohort!E9*Scenarios!$C$4</f>
        <v/>
      </c>
      <c r="F10">
        <f>Cohort!F9*Scenarios!$C$4</f>
        <v/>
      </c>
      <c r="G10">
        <f>Cohort!G9*Scenarios!$C$4</f>
        <v/>
      </c>
      <c r="H10">
        <f>C10*Scenarios!$C$5</f>
        <v/>
      </c>
      <c r="I10">
        <f>L9*(1-D10)+H10</f>
        <v/>
      </c>
      <c r="J10">
        <f>MIN(Inputs!$C$25,I10)</f>
        <v/>
      </c>
      <c r="K10">
        <f>IF(A10&lt;Inputs!$C$17,0,Inputs!$C$16*(I10-J10))</f>
        <v/>
      </c>
      <c r="L10">
        <f>I10-J10-K10</f>
        <v/>
      </c>
      <c r="M10">
        <f>K10*Inputs!$C$18</f>
        <v/>
      </c>
      <c r="N10">
        <f>Q9*(1-D10)+H10</f>
        <v/>
      </c>
      <c r="O10">
        <f>IF(A10&lt;Inputs!$C$17,MIN(Inputs!$C$25,N10),0)</f>
        <v/>
      </c>
      <c r="P10">
        <f>IF(A10&lt;Inputs!$C$17,0,MIN(Inputs!$C$25,N10)+Inputs!$C$16*(N10-MIN(Inputs!$C$25,N10)))</f>
        <v/>
      </c>
      <c r="Q10">
        <f>N10-O10-P10</f>
        <v/>
      </c>
      <c r="R10">
        <f>P10*Inputs!$C$18</f>
        <v/>
      </c>
      <c r="S10">
        <f>Cohort!H9</f>
        <v/>
      </c>
      <c r="T10">
        <f>B10/S10</f>
        <v/>
      </c>
    </row>
    <row r="11" hidden="1" outlineLevel="1">
      <c r="A11" t="n">
        <v>2008</v>
      </c>
      <c r="B11">
        <f>Cohort!B10*Scenarios!$C$4</f>
        <v/>
      </c>
      <c r="C11">
        <f>Cohort!C10*Scenarios!$C$4</f>
        <v/>
      </c>
      <c r="D11">
        <f>Cohort!D10</f>
        <v/>
      </c>
      <c r="E11">
        <f>Cohort!E10*Scenarios!$C$4</f>
        <v/>
      </c>
      <c r="F11">
        <f>Cohort!F10*Scenarios!$C$4</f>
        <v/>
      </c>
      <c r="G11">
        <f>Cohort!G10*Scenarios!$C$4</f>
        <v/>
      </c>
      <c r="H11">
        <f>C11*Scenarios!$C$5</f>
        <v/>
      </c>
      <c r="I11">
        <f>L10*(1-D11)+H11</f>
        <v/>
      </c>
      <c r="J11">
        <f>MIN(Inputs!$C$25,I11)</f>
        <v/>
      </c>
      <c r="K11">
        <f>IF(A11&lt;Inputs!$C$17,0,Inputs!$C$16*(I11-J11))</f>
        <v/>
      </c>
      <c r="L11">
        <f>I11-J11-K11</f>
        <v/>
      </c>
      <c r="M11">
        <f>K11*Inputs!$C$18</f>
        <v/>
      </c>
      <c r="N11">
        <f>Q10*(1-D11)+H11</f>
        <v/>
      </c>
      <c r="O11">
        <f>IF(A11&lt;Inputs!$C$17,MIN(Inputs!$C$25,N11),0)</f>
        <v/>
      </c>
      <c r="P11">
        <f>IF(A11&lt;Inputs!$C$17,0,MIN(Inputs!$C$25,N11)+Inputs!$C$16*(N11-MIN(Inputs!$C$25,N11)))</f>
        <v/>
      </c>
      <c r="Q11">
        <f>N11-O11-P11</f>
        <v/>
      </c>
      <c r="R11">
        <f>P11*Inputs!$C$18</f>
        <v/>
      </c>
      <c r="S11">
        <f>Cohort!H10</f>
        <v/>
      </c>
      <c r="T11">
        <f>B11/S11</f>
        <v/>
      </c>
    </row>
    <row r="12" hidden="1" outlineLevel="1">
      <c r="A12" t="n">
        <v>2009</v>
      </c>
      <c r="B12">
        <f>Cohort!B11*Scenarios!$C$4</f>
        <v/>
      </c>
      <c r="C12">
        <f>Cohort!C11*Scenarios!$C$4</f>
        <v/>
      </c>
      <c r="D12">
        <f>Cohort!D11</f>
        <v/>
      </c>
      <c r="E12">
        <f>Cohort!E11*Scenarios!$C$4</f>
        <v/>
      </c>
      <c r="F12">
        <f>Cohort!F11*Scenarios!$C$4</f>
        <v/>
      </c>
      <c r="G12">
        <f>Cohort!G11*Scenarios!$C$4</f>
        <v/>
      </c>
      <c r="H12">
        <f>C12*Scenarios!$C$5</f>
        <v/>
      </c>
      <c r="I12">
        <f>L11*(1-D12)+H12</f>
        <v/>
      </c>
      <c r="J12">
        <f>MIN(Inputs!$C$25,I12)</f>
        <v/>
      </c>
      <c r="K12">
        <f>IF(A12&lt;Inputs!$C$17,0,Inputs!$C$16*(I12-J12))</f>
        <v/>
      </c>
      <c r="L12">
        <f>I12-J12-K12</f>
        <v/>
      </c>
      <c r="M12">
        <f>K12*Inputs!$C$18</f>
        <v/>
      </c>
      <c r="N12">
        <f>Q11*(1-D12)+H12</f>
        <v/>
      </c>
      <c r="O12">
        <f>IF(A12&lt;Inputs!$C$17,MIN(Inputs!$C$25,N12),0)</f>
        <v/>
      </c>
      <c r="P12">
        <f>IF(A12&lt;Inputs!$C$17,0,MIN(Inputs!$C$25,N12)+Inputs!$C$16*(N12-MIN(Inputs!$C$25,N12)))</f>
        <v/>
      </c>
      <c r="Q12">
        <f>N12-O12-P12</f>
        <v/>
      </c>
      <c r="R12">
        <f>P12*Inputs!$C$18</f>
        <v/>
      </c>
      <c r="S12">
        <f>Cohort!H11</f>
        <v/>
      </c>
      <c r="T12">
        <f>B12/S12</f>
        <v/>
      </c>
    </row>
    <row r="13" hidden="1" outlineLevel="1">
      <c r="A13" t="n">
        <v>2010</v>
      </c>
      <c r="B13">
        <f>Cohort!B12*Scenarios!$C$4</f>
        <v/>
      </c>
      <c r="C13">
        <f>Cohort!C12*Scenarios!$C$4</f>
        <v/>
      </c>
      <c r="D13">
        <f>Cohort!D12</f>
        <v/>
      </c>
      <c r="E13">
        <f>Cohort!E12*Scenarios!$C$4</f>
        <v/>
      </c>
      <c r="F13">
        <f>Cohort!F12*Scenarios!$C$4</f>
        <v/>
      </c>
      <c r="G13">
        <f>Cohort!G12*Scenarios!$C$4</f>
        <v/>
      </c>
      <c r="H13">
        <f>C13*Scenarios!$C$5</f>
        <v/>
      </c>
      <c r="I13">
        <f>L12*(1-D13)+H13</f>
        <v/>
      </c>
      <c r="J13">
        <f>MIN(Inputs!$C$25,I13)</f>
        <v/>
      </c>
      <c r="K13">
        <f>IF(A13&lt;Inputs!$C$17,0,Inputs!$C$16*(I13-J13))</f>
        <v/>
      </c>
      <c r="L13">
        <f>I13-J13-K13</f>
        <v/>
      </c>
      <c r="M13">
        <f>K13*Inputs!$C$18</f>
        <v/>
      </c>
      <c r="N13">
        <f>Q12*(1-D13)+H13</f>
        <v/>
      </c>
      <c r="O13">
        <f>IF(A13&lt;Inputs!$C$17,MIN(Inputs!$C$25,N13),0)</f>
        <v/>
      </c>
      <c r="P13">
        <f>IF(A13&lt;Inputs!$C$17,0,MIN(Inputs!$C$25,N13)+Inputs!$C$16*(N13-MIN(Inputs!$C$25,N13)))</f>
        <v/>
      </c>
      <c r="Q13">
        <f>N13-O13-P13</f>
        <v/>
      </c>
      <c r="R13">
        <f>P13*Inputs!$C$18</f>
        <v/>
      </c>
      <c r="S13">
        <f>Cohort!H12</f>
        <v/>
      </c>
      <c r="T13">
        <f>B13/S13</f>
        <v/>
      </c>
    </row>
    <row r="14" hidden="1" outlineLevel="1">
      <c r="A14" t="n">
        <v>2011</v>
      </c>
      <c r="B14">
        <f>Cohort!B13*Scenarios!$C$4</f>
        <v/>
      </c>
      <c r="C14">
        <f>Cohort!C13*Scenarios!$C$4</f>
        <v/>
      </c>
      <c r="D14">
        <f>Cohort!D13</f>
        <v/>
      </c>
      <c r="E14">
        <f>Cohort!E13*Scenarios!$C$4</f>
        <v/>
      </c>
      <c r="F14">
        <f>Cohort!F13*Scenarios!$C$4</f>
        <v/>
      </c>
      <c r="G14">
        <f>Cohort!G13*Scenarios!$C$4</f>
        <v/>
      </c>
      <c r="H14">
        <f>C14*Scenarios!$C$5</f>
        <v/>
      </c>
      <c r="I14">
        <f>L13*(1-D14)+H14</f>
        <v/>
      </c>
      <c r="J14">
        <f>MIN(Inputs!$C$25,I14)</f>
        <v/>
      </c>
      <c r="K14">
        <f>IF(A14&lt;Inputs!$C$17,0,Inputs!$C$16*(I14-J14))</f>
        <v/>
      </c>
      <c r="L14">
        <f>I14-J14-K14</f>
        <v/>
      </c>
      <c r="M14">
        <f>K14*Inputs!$C$18</f>
        <v/>
      </c>
      <c r="N14">
        <f>Q13*(1-D14)+H14</f>
        <v/>
      </c>
      <c r="O14">
        <f>IF(A14&lt;Inputs!$C$17,MIN(Inputs!$C$25,N14),0)</f>
        <v/>
      </c>
      <c r="P14">
        <f>IF(A14&lt;Inputs!$C$17,0,MIN(Inputs!$C$25,N14)+Inputs!$C$16*(N14-MIN(Inputs!$C$25,N14)))</f>
        <v/>
      </c>
      <c r="Q14">
        <f>N14-O14-P14</f>
        <v/>
      </c>
      <c r="R14">
        <f>P14*Inputs!$C$18</f>
        <v/>
      </c>
      <c r="S14">
        <f>Cohort!H13</f>
        <v/>
      </c>
      <c r="T14">
        <f>B14/S14</f>
        <v/>
      </c>
    </row>
    <row r="15" hidden="1" outlineLevel="1">
      <c r="A15" t="n">
        <v>2012</v>
      </c>
      <c r="B15">
        <f>Cohort!B14*Scenarios!$C$4</f>
        <v/>
      </c>
      <c r="C15">
        <f>Cohort!C14*Scenarios!$C$4</f>
        <v/>
      </c>
      <c r="D15">
        <f>Cohort!D14</f>
        <v/>
      </c>
      <c r="E15">
        <f>Cohort!E14*Scenarios!$C$4</f>
        <v/>
      </c>
      <c r="F15">
        <f>Cohort!F14*Scenarios!$C$4</f>
        <v/>
      </c>
      <c r="G15">
        <f>Cohort!G14*Scenarios!$C$4</f>
        <v/>
      </c>
      <c r="H15">
        <f>C15*Scenarios!$C$5</f>
        <v/>
      </c>
      <c r="I15">
        <f>L14*(1-D15)+H15</f>
        <v/>
      </c>
      <c r="J15">
        <f>MIN(Inputs!$C$25,I15)</f>
        <v/>
      </c>
      <c r="K15">
        <f>IF(A15&lt;Inputs!$C$17,0,Inputs!$C$16*(I15-J15))</f>
        <v/>
      </c>
      <c r="L15">
        <f>I15-J15-K15</f>
        <v/>
      </c>
      <c r="M15">
        <f>K15*Inputs!$C$18</f>
        <v/>
      </c>
      <c r="N15">
        <f>Q14*(1-D15)+H15</f>
        <v/>
      </c>
      <c r="O15">
        <f>IF(A15&lt;Inputs!$C$17,MIN(Inputs!$C$25,N15),0)</f>
        <v/>
      </c>
      <c r="P15">
        <f>IF(A15&lt;Inputs!$C$17,0,MIN(Inputs!$C$25,N15)+Inputs!$C$16*(N15-MIN(Inputs!$C$25,N15)))</f>
        <v/>
      </c>
      <c r="Q15">
        <f>N15-O15-P15</f>
        <v/>
      </c>
      <c r="R15">
        <f>P15*Inputs!$C$18</f>
        <v/>
      </c>
      <c r="S15">
        <f>Cohort!H14</f>
        <v/>
      </c>
      <c r="T15">
        <f>B15/S15</f>
        <v/>
      </c>
    </row>
    <row r="16" hidden="1" outlineLevel="1">
      <c r="A16" t="n">
        <v>2013</v>
      </c>
      <c r="B16">
        <f>Cohort!B15*Scenarios!$C$4</f>
        <v/>
      </c>
      <c r="C16">
        <f>Cohort!C15*Scenarios!$C$4</f>
        <v/>
      </c>
      <c r="D16">
        <f>Cohort!D15</f>
        <v/>
      </c>
      <c r="E16">
        <f>Cohort!E15*Scenarios!$C$4</f>
        <v/>
      </c>
      <c r="F16">
        <f>Cohort!F15*Scenarios!$C$4</f>
        <v/>
      </c>
      <c r="G16">
        <f>Cohort!G15*Scenarios!$C$4</f>
        <v/>
      </c>
      <c r="H16">
        <f>C16*Scenarios!$C$5</f>
        <v/>
      </c>
      <c r="I16">
        <f>L15*(1-D16)+H16</f>
        <v/>
      </c>
      <c r="J16">
        <f>MIN(Inputs!$C$25,I16)</f>
        <v/>
      </c>
      <c r="K16">
        <f>IF(A16&lt;Inputs!$C$17,0,Inputs!$C$16*(I16-J16))</f>
        <v/>
      </c>
      <c r="L16">
        <f>I16-J16-K16</f>
        <v/>
      </c>
      <c r="M16">
        <f>K16*Inputs!$C$18</f>
        <v/>
      </c>
      <c r="N16">
        <f>Q15*(1-D16)+H16</f>
        <v/>
      </c>
      <c r="O16">
        <f>IF(A16&lt;Inputs!$C$17,MIN(Inputs!$C$25,N16),0)</f>
        <v/>
      </c>
      <c r="P16">
        <f>IF(A16&lt;Inputs!$C$17,0,MIN(Inputs!$C$25,N16)+Inputs!$C$16*(N16-MIN(Inputs!$C$25,N16)))</f>
        <v/>
      </c>
      <c r="Q16">
        <f>N16-O16-P16</f>
        <v/>
      </c>
      <c r="R16">
        <f>P16*Inputs!$C$18</f>
        <v/>
      </c>
      <c r="S16">
        <f>Cohort!H15</f>
        <v/>
      </c>
      <c r="T16">
        <f>B16/S16</f>
        <v/>
      </c>
    </row>
    <row r="17" hidden="1" outlineLevel="1">
      <c r="A17" t="n">
        <v>2014</v>
      </c>
      <c r="B17">
        <f>Cohort!B16*Scenarios!$C$4</f>
        <v/>
      </c>
      <c r="C17">
        <f>Cohort!C16*Scenarios!$C$4</f>
        <v/>
      </c>
      <c r="D17">
        <f>Cohort!D16</f>
        <v/>
      </c>
      <c r="E17">
        <f>Cohort!E16*Scenarios!$C$4</f>
        <v/>
      </c>
      <c r="F17">
        <f>Cohort!F16*Scenarios!$C$4</f>
        <v/>
      </c>
      <c r="G17">
        <f>Cohort!G16*Scenarios!$C$4</f>
        <v/>
      </c>
      <c r="H17">
        <f>C17*Scenarios!$C$5</f>
        <v/>
      </c>
      <c r="I17">
        <f>L16*(1-D17)+H17</f>
        <v/>
      </c>
      <c r="J17">
        <f>MIN(Inputs!$C$25,I17)</f>
        <v/>
      </c>
      <c r="K17">
        <f>IF(A17&lt;Inputs!$C$17,0,Inputs!$C$16*(I17-J17))</f>
        <v/>
      </c>
      <c r="L17">
        <f>I17-J17-K17</f>
        <v/>
      </c>
      <c r="M17">
        <f>K17*Inputs!$C$18</f>
        <v/>
      </c>
      <c r="N17">
        <f>Q16*(1-D17)+H17</f>
        <v/>
      </c>
      <c r="O17">
        <f>IF(A17&lt;Inputs!$C$17,MIN(Inputs!$C$25,N17),0)</f>
        <v/>
      </c>
      <c r="P17">
        <f>IF(A17&lt;Inputs!$C$17,0,MIN(Inputs!$C$25,N17)+Inputs!$C$16*(N17-MIN(Inputs!$C$25,N17)))</f>
        <v/>
      </c>
      <c r="Q17">
        <f>N17-O17-P17</f>
        <v/>
      </c>
      <c r="R17">
        <f>P17*Inputs!$C$18</f>
        <v/>
      </c>
      <c r="S17">
        <f>Cohort!H16</f>
        <v/>
      </c>
      <c r="T17">
        <f>B17/S17</f>
        <v/>
      </c>
    </row>
    <row r="18" hidden="1" outlineLevel="1">
      <c r="A18" t="n">
        <v>2015</v>
      </c>
      <c r="B18">
        <f>Cohort!B17*Scenarios!$C$4</f>
        <v/>
      </c>
      <c r="C18">
        <f>Cohort!C17*Scenarios!$C$4</f>
        <v/>
      </c>
      <c r="D18">
        <f>Cohort!D17</f>
        <v/>
      </c>
      <c r="E18">
        <f>Cohort!E17*Scenarios!$C$4</f>
        <v/>
      </c>
      <c r="F18">
        <f>Cohort!F17*Scenarios!$C$4</f>
        <v/>
      </c>
      <c r="G18">
        <f>Cohort!G17*Scenarios!$C$4</f>
        <v/>
      </c>
      <c r="H18">
        <f>C18*Scenarios!$C$5</f>
        <v/>
      </c>
      <c r="I18">
        <f>L17*(1-D18)+H18</f>
        <v/>
      </c>
      <c r="J18">
        <f>MIN(Inputs!$C$25,I18)</f>
        <v/>
      </c>
      <c r="K18">
        <f>IF(A18&lt;Inputs!$C$17,0,Inputs!$C$16*(I18-J18))</f>
        <v/>
      </c>
      <c r="L18">
        <f>I18-J18-K18</f>
        <v/>
      </c>
      <c r="M18">
        <f>K18*Inputs!$C$18</f>
        <v/>
      </c>
      <c r="N18">
        <f>Q17*(1-D18)+H18</f>
        <v/>
      </c>
      <c r="O18">
        <f>IF(A18&lt;Inputs!$C$17,MIN(Inputs!$C$25,N18),0)</f>
        <v/>
      </c>
      <c r="P18">
        <f>IF(A18&lt;Inputs!$C$17,0,MIN(Inputs!$C$25,N18)+Inputs!$C$16*(N18-MIN(Inputs!$C$25,N18)))</f>
        <v/>
      </c>
      <c r="Q18">
        <f>N18-O18-P18</f>
        <v/>
      </c>
      <c r="R18">
        <f>P18*Inputs!$C$18</f>
        <v/>
      </c>
      <c r="S18">
        <f>Cohort!H17</f>
        <v/>
      </c>
      <c r="T18">
        <f>B18/S18</f>
        <v/>
      </c>
    </row>
    <row r="19" hidden="1" outlineLevel="1">
      <c r="A19" t="n">
        <v>2016</v>
      </c>
      <c r="B19">
        <f>Cohort!B18*Scenarios!$C$4</f>
        <v/>
      </c>
      <c r="C19">
        <f>Cohort!C18*Scenarios!$C$4</f>
        <v/>
      </c>
      <c r="D19">
        <f>Cohort!D18</f>
        <v/>
      </c>
      <c r="E19">
        <f>Cohort!E18*Scenarios!$C$4</f>
        <v/>
      </c>
      <c r="F19">
        <f>Cohort!F18*Scenarios!$C$4</f>
        <v/>
      </c>
      <c r="G19">
        <f>Cohort!G18*Scenarios!$C$4</f>
        <v/>
      </c>
      <c r="H19">
        <f>C19*Scenarios!$C$5</f>
        <v/>
      </c>
      <c r="I19">
        <f>L18*(1-D19)+H19</f>
        <v/>
      </c>
      <c r="J19">
        <f>MIN(Inputs!$C$25,I19)</f>
        <v/>
      </c>
      <c r="K19">
        <f>IF(A19&lt;Inputs!$C$17,0,Inputs!$C$16*(I19-J19))</f>
        <v/>
      </c>
      <c r="L19">
        <f>I19-J19-K19</f>
        <v/>
      </c>
      <c r="M19">
        <f>K19*Inputs!$C$18</f>
        <v/>
      </c>
      <c r="N19">
        <f>Q18*(1-D19)+H19</f>
        <v/>
      </c>
      <c r="O19">
        <f>IF(A19&lt;Inputs!$C$17,MIN(Inputs!$C$25,N19),0)</f>
        <v/>
      </c>
      <c r="P19">
        <f>IF(A19&lt;Inputs!$C$17,0,MIN(Inputs!$C$25,N19)+Inputs!$C$16*(N19-MIN(Inputs!$C$25,N19)))</f>
        <v/>
      </c>
      <c r="Q19">
        <f>N19-O19-P19</f>
        <v/>
      </c>
      <c r="R19">
        <f>P19*Inputs!$C$18</f>
        <v/>
      </c>
      <c r="S19">
        <f>Cohort!H18</f>
        <v/>
      </c>
      <c r="T19">
        <f>B19/S19</f>
        <v/>
      </c>
    </row>
    <row r="20" hidden="1" outlineLevel="1">
      <c r="A20" t="n">
        <v>2017</v>
      </c>
      <c r="B20">
        <f>Cohort!B19*Scenarios!$C$4</f>
        <v/>
      </c>
      <c r="C20">
        <f>Cohort!C19*Scenarios!$C$4</f>
        <v/>
      </c>
      <c r="D20">
        <f>Cohort!D19</f>
        <v/>
      </c>
      <c r="E20">
        <f>Cohort!E19*Scenarios!$C$4</f>
        <v/>
      </c>
      <c r="F20">
        <f>Cohort!F19*Scenarios!$C$4</f>
        <v/>
      </c>
      <c r="G20">
        <f>Cohort!G19*Scenarios!$C$4</f>
        <v/>
      </c>
      <c r="H20">
        <f>C20*Scenarios!$C$5</f>
        <v/>
      </c>
      <c r="I20">
        <f>L19*(1-D20)+H20</f>
        <v/>
      </c>
      <c r="J20">
        <f>MIN(Inputs!$C$25,I20)</f>
        <v/>
      </c>
      <c r="K20">
        <f>IF(A20&lt;Inputs!$C$17,0,Inputs!$C$16*(I20-J20))</f>
        <v/>
      </c>
      <c r="L20">
        <f>I20-J20-K20</f>
        <v/>
      </c>
      <c r="M20">
        <f>K20*Inputs!$C$18</f>
        <v/>
      </c>
      <c r="N20">
        <f>Q19*(1-D20)+H20</f>
        <v/>
      </c>
      <c r="O20">
        <f>IF(A20&lt;Inputs!$C$17,MIN(Inputs!$C$25,N20),0)</f>
        <v/>
      </c>
      <c r="P20">
        <f>IF(A20&lt;Inputs!$C$17,0,MIN(Inputs!$C$25,N20)+Inputs!$C$16*(N20-MIN(Inputs!$C$25,N20)))</f>
        <v/>
      </c>
      <c r="Q20">
        <f>N20-O20-P20</f>
        <v/>
      </c>
      <c r="R20">
        <f>P20*Inputs!$C$18</f>
        <v/>
      </c>
      <c r="S20">
        <f>Cohort!H19</f>
        <v/>
      </c>
      <c r="T20">
        <f>B20/S20</f>
        <v/>
      </c>
    </row>
    <row r="21" hidden="1" outlineLevel="1">
      <c r="A21" t="n">
        <v>2018</v>
      </c>
      <c r="B21">
        <f>Cohort!B20*Scenarios!$C$4</f>
        <v/>
      </c>
      <c r="C21">
        <f>Cohort!C20*Scenarios!$C$4</f>
        <v/>
      </c>
      <c r="D21">
        <f>Cohort!D20</f>
        <v/>
      </c>
      <c r="E21">
        <f>Cohort!E20*Scenarios!$C$4</f>
        <v/>
      </c>
      <c r="F21">
        <f>Cohort!F20*Scenarios!$C$4</f>
        <v/>
      </c>
      <c r="G21">
        <f>Cohort!G20*Scenarios!$C$4</f>
        <v/>
      </c>
      <c r="H21">
        <f>C21*Scenarios!$C$5</f>
        <v/>
      </c>
      <c r="I21">
        <f>L20*(1-D21)+H21</f>
        <v/>
      </c>
      <c r="J21">
        <f>MIN(Inputs!$C$25,I21)</f>
        <v/>
      </c>
      <c r="K21">
        <f>IF(A21&lt;Inputs!$C$17,0,Inputs!$C$16*(I21-J21))</f>
        <v/>
      </c>
      <c r="L21">
        <f>I21-J21-K21</f>
        <v/>
      </c>
      <c r="M21">
        <f>K21*Inputs!$C$18</f>
        <v/>
      </c>
      <c r="N21">
        <f>Q20*(1-D21)+H21</f>
        <v/>
      </c>
      <c r="O21">
        <f>IF(A21&lt;Inputs!$C$17,MIN(Inputs!$C$25,N21),0)</f>
        <v/>
      </c>
      <c r="P21">
        <f>IF(A21&lt;Inputs!$C$17,0,MIN(Inputs!$C$25,N21)+Inputs!$C$16*(N21-MIN(Inputs!$C$25,N21)))</f>
        <v/>
      </c>
      <c r="Q21">
        <f>N21-O21-P21</f>
        <v/>
      </c>
      <c r="R21">
        <f>P21*Inputs!$C$18</f>
        <v/>
      </c>
      <c r="S21">
        <f>Cohort!H20</f>
        <v/>
      </c>
      <c r="T21">
        <f>B21/S21</f>
        <v/>
      </c>
    </row>
    <row r="22" hidden="1" outlineLevel="1">
      <c r="A22" t="n">
        <v>2019</v>
      </c>
      <c r="B22">
        <f>Cohort!B21*Scenarios!$C$4</f>
        <v/>
      </c>
      <c r="C22">
        <f>Cohort!C21*Scenarios!$C$4</f>
        <v/>
      </c>
      <c r="D22">
        <f>Cohort!D21</f>
        <v/>
      </c>
      <c r="E22">
        <f>Cohort!E21*Scenarios!$C$4</f>
        <v/>
      </c>
      <c r="F22">
        <f>Cohort!F21*Scenarios!$C$4</f>
        <v/>
      </c>
      <c r="G22">
        <f>Cohort!G21*Scenarios!$C$4</f>
        <v/>
      </c>
      <c r="H22">
        <f>C22*Scenarios!$C$5</f>
        <v/>
      </c>
      <c r="I22">
        <f>L21*(1-D22)+H22</f>
        <v/>
      </c>
      <c r="J22">
        <f>MIN(Inputs!$C$25,I22)</f>
        <v/>
      </c>
      <c r="K22">
        <f>IF(A22&lt;Inputs!$C$17,0,Inputs!$C$16*(I22-J22))</f>
        <v/>
      </c>
      <c r="L22">
        <f>I22-J22-K22</f>
        <v/>
      </c>
      <c r="M22">
        <f>K22*Inputs!$C$18</f>
        <v/>
      </c>
      <c r="N22">
        <f>Q21*(1-D22)+H22</f>
        <v/>
      </c>
      <c r="O22">
        <f>IF(A22&lt;Inputs!$C$17,MIN(Inputs!$C$25,N22),0)</f>
        <v/>
      </c>
      <c r="P22">
        <f>IF(A22&lt;Inputs!$C$17,0,MIN(Inputs!$C$25,N22)+Inputs!$C$16*(N22-MIN(Inputs!$C$25,N22)))</f>
        <v/>
      </c>
      <c r="Q22">
        <f>N22-O22-P22</f>
        <v/>
      </c>
      <c r="R22">
        <f>P22*Inputs!$C$18</f>
        <v/>
      </c>
      <c r="S22">
        <f>Cohort!H21</f>
        <v/>
      </c>
      <c r="T22">
        <f>B22/S22</f>
        <v/>
      </c>
    </row>
    <row r="23" hidden="1" outlineLevel="1">
      <c r="A23" t="n">
        <v>2020</v>
      </c>
      <c r="B23">
        <f>Cohort!B22*Scenarios!$C$4</f>
        <v/>
      </c>
      <c r="C23">
        <f>Cohort!C22*Scenarios!$C$4</f>
        <v/>
      </c>
      <c r="D23">
        <f>Cohort!D22</f>
        <v/>
      </c>
      <c r="E23">
        <f>Cohort!E22*Scenarios!$C$4</f>
        <v/>
      </c>
      <c r="F23">
        <f>Cohort!F22*Scenarios!$C$4</f>
        <v/>
      </c>
      <c r="G23">
        <f>Cohort!G22*Scenarios!$C$4</f>
        <v/>
      </c>
      <c r="H23">
        <f>C23*Scenarios!$C$5</f>
        <v/>
      </c>
      <c r="I23">
        <f>L22*(1-D23)+H23</f>
        <v/>
      </c>
      <c r="J23">
        <f>MIN(Inputs!$C$25,I23)</f>
        <v/>
      </c>
      <c r="K23">
        <f>IF(A23&lt;Inputs!$C$17,0,Inputs!$C$16*(I23-J23))</f>
        <v/>
      </c>
      <c r="L23">
        <f>I23-J23-K23</f>
        <v/>
      </c>
      <c r="M23">
        <f>K23*Inputs!$C$18</f>
        <v/>
      </c>
      <c r="N23">
        <f>Q22*(1-D23)+H23</f>
        <v/>
      </c>
      <c r="O23">
        <f>IF(A23&lt;Inputs!$C$17,MIN(Inputs!$C$25,N23),0)</f>
        <v/>
      </c>
      <c r="P23">
        <f>IF(A23&lt;Inputs!$C$17,0,MIN(Inputs!$C$25,N23)+Inputs!$C$16*(N23-MIN(Inputs!$C$25,N23)))</f>
        <v/>
      </c>
      <c r="Q23">
        <f>N23-O23-P23</f>
        <v/>
      </c>
      <c r="R23">
        <f>P23*Inputs!$C$18</f>
        <v/>
      </c>
      <c r="S23">
        <f>Cohort!H22</f>
        <v/>
      </c>
      <c r="T23">
        <f>B23/S23</f>
        <v/>
      </c>
    </row>
    <row r="24" hidden="1" outlineLevel="1">
      <c r="A24" t="n">
        <v>2021</v>
      </c>
      <c r="B24">
        <f>Cohort!B23*Scenarios!$C$4</f>
        <v/>
      </c>
      <c r="C24">
        <f>Cohort!C23*Scenarios!$C$4</f>
        <v/>
      </c>
      <c r="D24">
        <f>Cohort!D23</f>
        <v/>
      </c>
      <c r="E24">
        <f>Cohort!E23*Scenarios!$C$4</f>
        <v/>
      </c>
      <c r="F24">
        <f>Cohort!F23*Scenarios!$C$4</f>
        <v/>
      </c>
      <c r="G24">
        <f>Cohort!G23*Scenarios!$C$4</f>
        <v/>
      </c>
      <c r="H24">
        <f>C24*Scenarios!$C$5</f>
        <v/>
      </c>
      <c r="I24">
        <f>L23*(1-D24)+H24</f>
        <v/>
      </c>
      <c r="J24">
        <f>MIN(Inputs!$C$25,I24)</f>
        <v/>
      </c>
      <c r="K24">
        <f>IF(A24&lt;Inputs!$C$17,0,Inputs!$C$16*(I24-J24))</f>
        <v/>
      </c>
      <c r="L24">
        <f>I24-J24-K24</f>
        <v/>
      </c>
      <c r="M24">
        <f>K24*Inputs!$C$18</f>
        <v/>
      </c>
      <c r="N24">
        <f>Q23*(1-D24)+H24</f>
        <v/>
      </c>
      <c r="O24">
        <f>IF(A24&lt;Inputs!$C$17,MIN(Inputs!$C$25,N24),0)</f>
        <v/>
      </c>
      <c r="P24">
        <f>IF(A24&lt;Inputs!$C$17,0,MIN(Inputs!$C$25,N24)+Inputs!$C$16*(N24-MIN(Inputs!$C$25,N24)))</f>
        <v/>
      </c>
      <c r="Q24">
        <f>N24-O24-P24</f>
        <v/>
      </c>
      <c r="R24">
        <f>P24*Inputs!$C$18</f>
        <v/>
      </c>
      <c r="S24">
        <f>Cohort!H23</f>
        <v/>
      </c>
      <c r="T24">
        <f>B24/S24</f>
        <v/>
      </c>
    </row>
    <row r="25" hidden="1" outlineLevel="1">
      <c r="A25" t="n">
        <v>2022</v>
      </c>
      <c r="B25">
        <f>Cohort!B24*Scenarios!$C$4</f>
        <v/>
      </c>
      <c r="C25">
        <f>Cohort!C24*Scenarios!$C$4</f>
        <v/>
      </c>
      <c r="D25">
        <f>Cohort!D24</f>
        <v/>
      </c>
      <c r="E25">
        <f>Cohort!E24*Scenarios!$C$4</f>
        <v/>
      </c>
      <c r="F25">
        <f>Cohort!F24*Scenarios!$C$4</f>
        <v/>
      </c>
      <c r="G25">
        <f>Cohort!G24*Scenarios!$C$4</f>
        <v/>
      </c>
      <c r="H25">
        <f>C25*Scenarios!$C$5</f>
        <v/>
      </c>
      <c r="I25">
        <f>L24*(1-D25)+H25</f>
        <v/>
      </c>
      <c r="J25">
        <f>MIN(Inputs!$C$25,I25)</f>
        <v/>
      </c>
      <c r="K25">
        <f>IF(A25&lt;Inputs!$C$17,0,Inputs!$C$16*(I25-J25))</f>
        <v/>
      </c>
      <c r="L25">
        <f>I25-J25-K25</f>
        <v/>
      </c>
      <c r="M25">
        <f>K25*Inputs!$C$18</f>
        <v/>
      </c>
      <c r="N25">
        <f>Q24*(1-D25)+H25</f>
        <v/>
      </c>
      <c r="O25">
        <f>IF(A25&lt;Inputs!$C$17,MIN(Inputs!$C$25,N25),0)</f>
        <v/>
      </c>
      <c r="P25">
        <f>IF(A25&lt;Inputs!$C$17,0,MIN(Inputs!$C$25,N25)+Inputs!$C$16*(N25-MIN(Inputs!$C$25,N25)))</f>
        <v/>
      </c>
      <c r="Q25">
        <f>N25-O25-P25</f>
        <v/>
      </c>
      <c r="R25">
        <f>P25*Inputs!$C$18</f>
        <v/>
      </c>
      <c r="S25">
        <f>Cohort!H24</f>
        <v/>
      </c>
      <c r="T25">
        <f>B25/S25</f>
        <v/>
      </c>
    </row>
    <row r="26" hidden="1" outlineLevel="1">
      <c r="A26" t="n">
        <v>2023</v>
      </c>
      <c r="B26">
        <f>Cohort!B25*Scenarios!$C$4</f>
        <v/>
      </c>
      <c r="C26">
        <f>Cohort!C25*Scenarios!$C$4</f>
        <v/>
      </c>
      <c r="D26">
        <f>Cohort!D25</f>
        <v/>
      </c>
      <c r="E26">
        <f>Cohort!E25*Scenarios!$C$4</f>
        <v/>
      </c>
      <c r="F26">
        <f>Cohort!F25*Scenarios!$C$4</f>
        <v/>
      </c>
      <c r="G26">
        <f>Cohort!G25*Scenarios!$C$4</f>
        <v/>
      </c>
      <c r="H26">
        <f>C26*Scenarios!$C$5</f>
        <v/>
      </c>
      <c r="I26">
        <f>L25*(1-D26)+H26</f>
        <v/>
      </c>
      <c r="J26">
        <f>MIN(Inputs!$C$25,I26)</f>
        <v/>
      </c>
      <c r="K26">
        <f>IF(A26&lt;Inputs!$C$17,0,Inputs!$C$16*(I26-J26))</f>
        <v/>
      </c>
      <c r="L26">
        <f>I26-J26-K26</f>
        <v/>
      </c>
      <c r="M26">
        <f>K26*Inputs!$C$18</f>
        <v/>
      </c>
      <c r="N26">
        <f>Q25*(1-D26)+H26</f>
        <v/>
      </c>
      <c r="O26">
        <f>IF(A26&lt;Inputs!$C$17,MIN(Inputs!$C$25,N26),0)</f>
        <v/>
      </c>
      <c r="P26">
        <f>IF(A26&lt;Inputs!$C$17,0,MIN(Inputs!$C$25,N26)+Inputs!$C$16*(N26-MIN(Inputs!$C$25,N26)))</f>
        <v/>
      </c>
      <c r="Q26">
        <f>N26-O26-P26</f>
        <v/>
      </c>
      <c r="R26">
        <f>P26*Inputs!$C$18</f>
        <v/>
      </c>
      <c r="S26">
        <f>Cohort!H25</f>
        <v/>
      </c>
      <c r="T26">
        <f>B26/S26</f>
        <v/>
      </c>
    </row>
    <row r="27" hidden="1" outlineLevel="1">
      <c r="A27" t="n">
        <v>2024</v>
      </c>
      <c r="B27">
        <f>Cohort!B26*Scenarios!$C$4</f>
        <v/>
      </c>
      <c r="C27">
        <f>Cohort!C26*Scenarios!$C$4</f>
        <v/>
      </c>
      <c r="D27">
        <f>Cohort!D26</f>
        <v/>
      </c>
      <c r="E27">
        <f>Cohort!E26*Scenarios!$C$4</f>
        <v/>
      </c>
      <c r="F27">
        <f>Cohort!F26*Scenarios!$C$4</f>
        <v/>
      </c>
      <c r="G27">
        <f>Cohort!G26*Scenarios!$C$4</f>
        <v/>
      </c>
      <c r="H27">
        <f>C27*Scenarios!$C$5</f>
        <v/>
      </c>
      <c r="I27">
        <f>L26*(1-D27)+H27</f>
        <v/>
      </c>
      <c r="J27">
        <f>MIN(Inputs!$C$25,I27)</f>
        <v/>
      </c>
      <c r="K27">
        <f>IF(A27&lt;Inputs!$C$17,0,Inputs!$C$16*(I27-J27))</f>
        <v/>
      </c>
      <c r="L27">
        <f>I27-J27-K27</f>
        <v/>
      </c>
      <c r="M27">
        <f>K27*Inputs!$C$18</f>
        <v/>
      </c>
      <c r="N27">
        <f>Q26*(1-D27)+H27</f>
        <v/>
      </c>
      <c r="O27">
        <f>IF(A27&lt;Inputs!$C$17,MIN(Inputs!$C$25,N27),0)</f>
        <v/>
      </c>
      <c r="P27">
        <f>IF(A27&lt;Inputs!$C$17,0,MIN(Inputs!$C$25,N27)+Inputs!$C$16*(N27-MIN(Inputs!$C$25,N27)))</f>
        <v/>
      </c>
      <c r="Q27">
        <f>N27-O27-P27</f>
        <v/>
      </c>
      <c r="R27">
        <f>P27*Inputs!$C$18</f>
        <v/>
      </c>
      <c r="S27">
        <f>Cohort!H26</f>
        <v/>
      </c>
      <c r="T27">
        <f>B27/S27</f>
        <v/>
      </c>
    </row>
    <row r="28" hidden="1" outlineLevel="1">
      <c r="A28" t="n">
        <v>2025</v>
      </c>
      <c r="B28">
        <f>Cohort!B27*Scenarios!$C$4</f>
        <v/>
      </c>
      <c r="C28">
        <f>Cohort!C27*Scenarios!$C$4</f>
        <v/>
      </c>
      <c r="D28">
        <f>Cohort!D27</f>
        <v/>
      </c>
      <c r="E28">
        <f>Cohort!E27*Scenarios!$C$4</f>
        <v/>
      </c>
      <c r="F28">
        <f>Cohort!F27*Scenarios!$C$4</f>
        <v/>
      </c>
      <c r="G28">
        <f>Cohort!G27*Scenarios!$C$4</f>
        <v/>
      </c>
      <c r="H28">
        <f>C28*Scenarios!$C$5</f>
        <v/>
      </c>
      <c r="I28">
        <f>L27*(1-D28)+H28</f>
        <v/>
      </c>
      <c r="J28">
        <f>MIN(Inputs!$C$25,I28)</f>
        <v/>
      </c>
      <c r="K28">
        <f>IF(A28&lt;Inputs!$C$17,0,Inputs!$C$16*(I28-J28))</f>
        <v/>
      </c>
      <c r="L28">
        <f>I28-J28-K28</f>
        <v/>
      </c>
      <c r="M28">
        <f>K28*Inputs!$C$18</f>
        <v/>
      </c>
      <c r="N28">
        <f>Q27*(1-D28)+H28</f>
        <v/>
      </c>
      <c r="O28">
        <f>IF(A28&lt;Inputs!$C$17,MIN(Inputs!$C$25,N28),0)</f>
        <v/>
      </c>
      <c r="P28">
        <f>IF(A28&lt;Inputs!$C$17,0,MIN(Inputs!$C$25,N28)+Inputs!$C$16*(N28-MIN(Inputs!$C$25,N28)))</f>
        <v/>
      </c>
      <c r="Q28">
        <f>N28-O28-P28</f>
        <v/>
      </c>
      <c r="R28">
        <f>P28*Inputs!$C$18</f>
        <v/>
      </c>
      <c r="S28">
        <f>Cohort!H27</f>
        <v/>
      </c>
      <c r="T28">
        <f>B28/S28</f>
        <v/>
      </c>
    </row>
    <row r="29">
      <c r="A29" t="n">
        <v>2026</v>
      </c>
      <c r="B29">
        <f>Cohort!B28*Scenarios!$C$4</f>
        <v/>
      </c>
      <c r="C29">
        <f>Cohort!C28*Scenarios!$C$4</f>
        <v/>
      </c>
      <c r="D29">
        <f>Cohort!D28</f>
        <v/>
      </c>
      <c r="E29">
        <f>Cohort!E28*Scenarios!$C$4</f>
        <v/>
      </c>
      <c r="F29">
        <f>Cohort!F28*Scenarios!$C$4</f>
        <v/>
      </c>
      <c r="G29">
        <f>Cohort!G28*Scenarios!$C$4</f>
        <v/>
      </c>
      <c r="H29">
        <f>C29*Scenarios!$C$5</f>
        <v/>
      </c>
      <c r="I29">
        <f>L28*(1-D29)+H29</f>
        <v/>
      </c>
      <c r="J29">
        <f>MIN(Inputs!$C$25,I29)</f>
        <v/>
      </c>
      <c r="K29">
        <f>IF(A29&lt;Inputs!$C$17,0,Inputs!$C$16*(I29-J29))</f>
        <v/>
      </c>
      <c r="L29">
        <f>I29-J29-K29</f>
        <v/>
      </c>
      <c r="M29">
        <f>K29*Inputs!$C$18</f>
        <v/>
      </c>
      <c r="N29">
        <f>Q28*(1-D29)+H29</f>
        <v/>
      </c>
      <c r="O29">
        <f>IF(A29&lt;Inputs!$C$17,MIN(Inputs!$C$25,N29),0)</f>
        <v/>
      </c>
      <c r="P29">
        <f>IF(A29&lt;Inputs!$C$17,0,MIN(Inputs!$C$25,N29)+Inputs!$C$16*(N29-MIN(Inputs!$C$25,N29)))</f>
        <v/>
      </c>
      <c r="Q29">
        <f>N29-O29-P29</f>
        <v/>
      </c>
      <c r="R29">
        <f>P29*Inputs!$C$18</f>
        <v/>
      </c>
      <c r="S29">
        <f>Cohort!H28</f>
        <v/>
      </c>
      <c r="T29">
        <f>B29/S29</f>
        <v/>
      </c>
    </row>
    <row r="30">
      <c r="A30" t="n">
        <v>2027</v>
      </c>
      <c r="B30">
        <f>Cohort!B29*Scenarios!$C$4</f>
        <v/>
      </c>
      <c r="C30">
        <f>Cohort!C29*Scenarios!$C$4</f>
        <v/>
      </c>
      <c r="D30">
        <f>Cohort!D29</f>
        <v/>
      </c>
      <c r="E30">
        <f>Cohort!E29*Scenarios!$C$4</f>
        <v/>
      </c>
      <c r="F30">
        <f>Cohort!F29*Scenarios!$C$4</f>
        <v/>
      </c>
      <c r="G30">
        <f>Cohort!G29*Scenarios!$C$4</f>
        <v/>
      </c>
      <c r="H30">
        <f>C30*Scenarios!$C$5</f>
        <v/>
      </c>
      <c r="I30">
        <f>L29*(1-D30)+H30</f>
        <v/>
      </c>
      <c r="J30">
        <f>MIN(Inputs!$C$25,I30)</f>
        <v/>
      </c>
      <c r="K30">
        <f>IF(A30&lt;Inputs!$C$17,0,Inputs!$C$16*(I30-J30))</f>
        <v/>
      </c>
      <c r="L30">
        <f>I30-J30-K30</f>
        <v/>
      </c>
      <c r="M30">
        <f>K30*Inputs!$C$18</f>
        <v/>
      </c>
      <c r="N30">
        <f>Q29*(1-D30)+H30</f>
        <v/>
      </c>
      <c r="O30">
        <f>IF(A30&lt;Inputs!$C$17,MIN(Inputs!$C$25,N30),0)</f>
        <v/>
      </c>
      <c r="P30">
        <f>IF(A30&lt;Inputs!$C$17,0,MIN(Inputs!$C$25,N30)+Inputs!$C$16*(N30-MIN(Inputs!$C$25,N30)))</f>
        <v/>
      </c>
      <c r="Q30">
        <f>N30-O30-P30</f>
        <v/>
      </c>
      <c r="R30">
        <f>P30*Inputs!$C$18</f>
        <v/>
      </c>
      <c r="S30">
        <f>Cohort!H29</f>
        <v/>
      </c>
      <c r="T30">
        <f>B30/S30</f>
        <v/>
      </c>
    </row>
    <row r="31">
      <c r="A31" t="n">
        <v>2028</v>
      </c>
      <c r="B31">
        <f>Cohort!B30*Scenarios!$C$4</f>
        <v/>
      </c>
      <c r="C31">
        <f>Cohort!C30*Scenarios!$C$4</f>
        <v/>
      </c>
      <c r="D31">
        <f>Cohort!D30</f>
        <v/>
      </c>
      <c r="E31">
        <f>Cohort!E30*Scenarios!$C$4</f>
        <v/>
      </c>
      <c r="F31">
        <f>Cohort!F30*Scenarios!$C$4</f>
        <v/>
      </c>
      <c r="G31">
        <f>Cohort!G30*Scenarios!$C$4</f>
        <v/>
      </c>
      <c r="H31">
        <f>C31*Scenarios!$C$5</f>
        <v/>
      </c>
      <c r="I31">
        <f>L30*(1-D31)+H31</f>
        <v/>
      </c>
      <c r="J31">
        <f>MIN(Inputs!$C$25,I31)</f>
        <v/>
      </c>
      <c r="K31">
        <f>IF(A31&lt;Inputs!$C$17,0,Inputs!$C$16*(I31-J31))</f>
        <v/>
      </c>
      <c r="L31">
        <f>I31-J31-K31</f>
        <v/>
      </c>
      <c r="M31">
        <f>K31*Inputs!$C$18</f>
        <v/>
      </c>
      <c r="N31">
        <f>Q30*(1-D31)+H31</f>
        <v/>
      </c>
      <c r="O31">
        <f>IF(A31&lt;Inputs!$C$17,MIN(Inputs!$C$25,N31),0)</f>
        <v/>
      </c>
      <c r="P31">
        <f>IF(A31&lt;Inputs!$C$17,0,MIN(Inputs!$C$25,N31)+Inputs!$C$16*(N31-MIN(Inputs!$C$25,N31)))</f>
        <v/>
      </c>
      <c r="Q31">
        <f>N31-O31-P31</f>
        <v/>
      </c>
      <c r="R31">
        <f>P31*Inputs!$C$18</f>
        <v/>
      </c>
      <c r="S31">
        <f>Cohort!H30</f>
        <v/>
      </c>
      <c r="T31">
        <f>B31/S31</f>
        <v/>
      </c>
    </row>
    <row r="32">
      <c r="A32" t="n">
        <v>2029</v>
      </c>
      <c r="B32">
        <f>Cohort!B31*Scenarios!$C$4</f>
        <v/>
      </c>
      <c r="C32">
        <f>Cohort!C31*Scenarios!$C$4</f>
        <v/>
      </c>
      <c r="D32">
        <f>Cohort!D31</f>
        <v/>
      </c>
      <c r="E32">
        <f>Cohort!E31*Scenarios!$C$4</f>
        <v/>
      </c>
      <c r="F32">
        <f>Cohort!F31*Scenarios!$C$4</f>
        <v/>
      </c>
      <c r="G32">
        <f>Cohort!G31*Scenarios!$C$4</f>
        <v/>
      </c>
      <c r="H32">
        <f>C32*Scenarios!$C$5</f>
        <v/>
      </c>
      <c r="I32">
        <f>L31*(1-D32)+H32</f>
        <v/>
      </c>
      <c r="J32">
        <f>MIN(Inputs!$C$25,I32)</f>
        <v/>
      </c>
      <c r="K32">
        <f>IF(A32&lt;Inputs!$C$17,0,Inputs!$C$16*(I32-J32))</f>
        <v/>
      </c>
      <c r="L32">
        <f>I32-J32-K32</f>
        <v/>
      </c>
      <c r="M32">
        <f>K32*Inputs!$C$18</f>
        <v/>
      </c>
      <c r="N32">
        <f>Q31*(1-D32)+H32</f>
        <v/>
      </c>
      <c r="O32">
        <f>IF(A32&lt;Inputs!$C$17,MIN(Inputs!$C$25,N32),0)</f>
        <v/>
      </c>
      <c r="P32">
        <f>IF(A32&lt;Inputs!$C$17,0,MIN(Inputs!$C$25,N32)+Inputs!$C$16*(N32-MIN(Inputs!$C$25,N32)))</f>
        <v/>
      </c>
      <c r="Q32">
        <f>N32-O32-P32</f>
        <v/>
      </c>
      <c r="R32">
        <f>P32*Inputs!$C$18</f>
        <v/>
      </c>
      <c r="S32">
        <f>Cohort!H31</f>
        <v/>
      </c>
      <c r="T32">
        <f>B32/S32</f>
        <v/>
      </c>
    </row>
    <row r="33">
      <c r="A33" t="n">
        <v>2030</v>
      </c>
      <c r="B33">
        <f>Cohort!B32*Scenarios!$C$4</f>
        <v/>
      </c>
      <c r="C33">
        <f>Cohort!C32*Scenarios!$C$4</f>
        <v/>
      </c>
      <c r="D33">
        <f>Cohort!D32</f>
        <v/>
      </c>
      <c r="E33">
        <f>Cohort!E32*Scenarios!$C$4</f>
        <v/>
      </c>
      <c r="F33">
        <f>Cohort!F32*Scenarios!$C$4</f>
        <v/>
      </c>
      <c r="G33">
        <f>Cohort!G32*Scenarios!$C$4</f>
        <v/>
      </c>
      <c r="H33">
        <f>C33*Scenarios!$C$5</f>
        <v/>
      </c>
      <c r="I33">
        <f>L32*(1-D33)+H33</f>
        <v/>
      </c>
      <c r="J33">
        <f>MIN(Inputs!$C$25,I33)</f>
        <v/>
      </c>
      <c r="K33">
        <f>IF(A33&lt;Inputs!$C$17,0,Inputs!$C$16*(I33-J33))</f>
        <v/>
      </c>
      <c r="L33">
        <f>I33-J33-K33</f>
        <v/>
      </c>
      <c r="M33">
        <f>K33*Inputs!$C$18</f>
        <v/>
      </c>
      <c r="N33">
        <f>Q32*(1-D33)+H33</f>
        <v/>
      </c>
      <c r="O33">
        <f>IF(A33&lt;Inputs!$C$17,MIN(Inputs!$C$25,N33),0)</f>
        <v/>
      </c>
      <c r="P33">
        <f>IF(A33&lt;Inputs!$C$17,0,MIN(Inputs!$C$25,N33)+Inputs!$C$16*(N33-MIN(Inputs!$C$25,N33)))</f>
        <v/>
      </c>
      <c r="Q33">
        <f>N33-O33-P33</f>
        <v/>
      </c>
      <c r="R33">
        <f>P33*Inputs!$C$18</f>
        <v/>
      </c>
      <c r="S33">
        <f>Cohort!H32</f>
        <v/>
      </c>
      <c r="T33">
        <f>B33/S33</f>
        <v/>
      </c>
    </row>
    <row r="34">
      <c r="A34" t="n">
        <v>2031</v>
      </c>
      <c r="B34">
        <f>Cohort!B33*Scenarios!$C$4</f>
        <v/>
      </c>
      <c r="C34">
        <f>Cohort!C33*Scenarios!$C$4</f>
        <v/>
      </c>
      <c r="D34">
        <f>Cohort!D33</f>
        <v/>
      </c>
      <c r="E34">
        <f>Cohort!E33*Scenarios!$C$4</f>
        <v/>
      </c>
      <c r="F34">
        <f>Cohort!F33*Scenarios!$C$4</f>
        <v/>
      </c>
      <c r="G34">
        <f>Cohort!G33*Scenarios!$C$4</f>
        <v/>
      </c>
      <c r="H34">
        <f>C34*Scenarios!$C$5</f>
        <v/>
      </c>
      <c r="I34">
        <f>L33*(1-D34)+H34</f>
        <v/>
      </c>
      <c r="J34">
        <f>MIN(Inputs!$C$25,I34)</f>
        <v/>
      </c>
      <c r="K34">
        <f>IF(A34&lt;Inputs!$C$17,0,Inputs!$C$16*(I34-J34))</f>
        <v/>
      </c>
      <c r="L34">
        <f>I34-J34-K34</f>
        <v/>
      </c>
      <c r="M34">
        <f>K34*Inputs!$C$18</f>
        <v/>
      </c>
      <c r="N34">
        <f>Q33*(1-D34)+H34</f>
        <v/>
      </c>
      <c r="O34">
        <f>IF(A34&lt;Inputs!$C$17,MIN(Inputs!$C$25,N34),0)</f>
        <v/>
      </c>
      <c r="P34">
        <f>IF(A34&lt;Inputs!$C$17,0,MIN(Inputs!$C$25,N34)+Inputs!$C$16*(N34-MIN(Inputs!$C$25,N34)))</f>
        <v/>
      </c>
      <c r="Q34">
        <f>N34-O34-P34</f>
        <v/>
      </c>
      <c r="R34">
        <f>P34*Inputs!$C$18</f>
        <v/>
      </c>
      <c r="S34">
        <f>Cohort!H33</f>
        <v/>
      </c>
      <c r="T34">
        <f>B34/S34</f>
        <v/>
      </c>
    </row>
    <row r="35">
      <c r="A35" t="n">
        <v>2032</v>
      </c>
      <c r="B35">
        <f>Cohort!B34*Scenarios!$C$4</f>
        <v/>
      </c>
      <c r="C35">
        <f>Cohort!C34*Scenarios!$C$4</f>
        <v/>
      </c>
      <c r="D35">
        <f>Cohort!D34</f>
        <v/>
      </c>
      <c r="E35">
        <f>Cohort!E34*Scenarios!$C$4</f>
        <v/>
      </c>
      <c r="F35">
        <f>Cohort!F34*Scenarios!$C$4</f>
        <v/>
      </c>
      <c r="G35">
        <f>Cohort!G34*Scenarios!$C$4</f>
        <v/>
      </c>
      <c r="H35">
        <f>C35*Scenarios!$C$5</f>
        <v/>
      </c>
      <c r="I35">
        <f>L34*(1-D35)+H35</f>
        <v/>
      </c>
      <c r="J35">
        <f>MIN(Inputs!$C$25,I35)</f>
        <v/>
      </c>
      <c r="K35">
        <f>IF(A35&lt;Inputs!$C$17,0,Inputs!$C$16*(I35-J35))</f>
        <v/>
      </c>
      <c r="L35">
        <f>I35-J35-K35</f>
        <v/>
      </c>
      <c r="M35">
        <f>K35*Inputs!$C$18</f>
        <v/>
      </c>
      <c r="N35">
        <f>Q34*(1-D35)+H35</f>
        <v/>
      </c>
      <c r="O35">
        <f>IF(A35&lt;Inputs!$C$17,MIN(Inputs!$C$25,N35),0)</f>
        <v/>
      </c>
      <c r="P35">
        <f>IF(A35&lt;Inputs!$C$17,0,MIN(Inputs!$C$25,N35)+Inputs!$C$16*(N35-MIN(Inputs!$C$25,N35)))</f>
        <v/>
      </c>
      <c r="Q35">
        <f>N35-O35-P35</f>
        <v/>
      </c>
      <c r="R35">
        <f>P35*Inputs!$C$18</f>
        <v/>
      </c>
      <c r="S35">
        <f>Cohort!H34</f>
        <v/>
      </c>
      <c r="T35">
        <f>B35/S35</f>
        <v/>
      </c>
    </row>
    <row r="36">
      <c r="A36" t="n">
        <v>2033</v>
      </c>
      <c r="B36">
        <f>Cohort!B35*Scenarios!$C$4</f>
        <v/>
      </c>
      <c r="C36">
        <f>Cohort!C35*Scenarios!$C$4</f>
        <v/>
      </c>
      <c r="D36">
        <f>Cohort!D35</f>
        <v/>
      </c>
      <c r="E36">
        <f>Cohort!E35*Scenarios!$C$4</f>
        <v/>
      </c>
      <c r="F36">
        <f>Cohort!F35*Scenarios!$C$4</f>
        <v/>
      </c>
      <c r="G36">
        <f>Cohort!G35*Scenarios!$C$4</f>
        <v/>
      </c>
      <c r="H36">
        <f>C36*Scenarios!$C$5</f>
        <v/>
      </c>
      <c r="I36">
        <f>L35*(1-D36)+H36</f>
        <v/>
      </c>
      <c r="J36">
        <f>MIN(Inputs!$C$25,I36)</f>
        <v/>
      </c>
      <c r="K36">
        <f>IF(A36&lt;Inputs!$C$17,0,Inputs!$C$16*(I36-J36))</f>
        <v/>
      </c>
      <c r="L36">
        <f>I36-J36-K36</f>
        <v/>
      </c>
      <c r="M36">
        <f>K36*Inputs!$C$18</f>
        <v/>
      </c>
      <c r="N36">
        <f>Q35*(1-D36)+H36</f>
        <v/>
      </c>
      <c r="O36">
        <f>IF(A36&lt;Inputs!$C$17,MIN(Inputs!$C$25,N36),0)</f>
        <v/>
      </c>
      <c r="P36">
        <f>IF(A36&lt;Inputs!$C$17,0,MIN(Inputs!$C$25,N36)+Inputs!$C$16*(N36-MIN(Inputs!$C$25,N36)))</f>
        <v/>
      </c>
      <c r="Q36">
        <f>N36-O36-P36</f>
        <v/>
      </c>
      <c r="R36">
        <f>P36*Inputs!$C$18</f>
        <v/>
      </c>
      <c r="S36">
        <f>Cohort!H35</f>
        <v/>
      </c>
      <c r="T36">
        <f>B36/S36</f>
        <v/>
      </c>
    </row>
    <row r="37">
      <c r="A37" t="n">
        <v>2034</v>
      </c>
      <c r="B37">
        <f>Cohort!B36*Scenarios!$C$4</f>
        <v/>
      </c>
      <c r="C37">
        <f>Cohort!C36*Scenarios!$C$4</f>
        <v/>
      </c>
      <c r="D37">
        <f>Cohort!D36</f>
        <v/>
      </c>
      <c r="E37">
        <f>Cohort!E36*Scenarios!$C$4</f>
        <v/>
      </c>
      <c r="F37">
        <f>Cohort!F36*Scenarios!$C$4</f>
        <v/>
      </c>
      <c r="G37">
        <f>Cohort!G36*Scenarios!$C$4</f>
        <v/>
      </c>
      <c r="H37">
        <f>C37*Scenarios!$C$5</f>
        <v/>
      </c>
      <c r="I37">
        <f>L36*(1-D37)+H37</f>
        <v/>
      </c>
      <c r="J37">
        <f>MIN(Inputs!$C$25,I37)</f>
        <v/>
      </c>
      <c r="K37">
        <f>IF(A37&lt;Inputs!$C$17,0,Inputs!$C$16*(I37-J37))</f>
        <v/>
      </c>
      <c r="L37">
        <f>I37-J37-K37</f>
        <v/>
      </c>
      <c r="M37">
        <f>K37*Inputs!$C$18</f>
        <v/>
      </c>
      <c r="N37">
        <f>Q36*(1-D37)+H37</f>
        <v/>
      </c>
      <c r="O37">
        <f>IF(A37&lt;Inputs!$C$17,MIN(Inputs!$C$25,N37),0)</f>
        <v/>
      </c>
      <c r="P37">
        <f>IF(A37&lt;Inputs!$C$17,0,MIN(Inputs!$C$25,N37)+Inputs!$C$16*(N37-MIN(Inputs!$C$25,N37)))</f>
        <v/>
      </c>
      <c r="Q37">
        <f>N37-O37-P37</f>
        <v/>
      </c>
      <c r="R37">
        <f>P37*Inputs!$C$18</f>
        <v/>
      </c>
      <c r="S37">
        <f>Cohort!H36</f>
        <v/>
      </c>
      <c r="T37">
        <f>B37/S37</f>
        <v/>
      </c>
    </row>
    <row r="38">
      <c r="A38" t="n">
        <v>2035</v>
      </c>
      <c r="B38">
        <f>Cohort!B37*Scenarios!$C$4</f>
        <v/>
      </c>
      <c r="C38">
        <f>Cohort!C37*Scenarios!$C$4</f>
        <v/>
      </c>
      <c r="D38">
        <f>Cohort!D37</f>
        <v/>
      </c>
      <c r="E38">
        <f>Cohort!E37*Scenarios!$C$4</f>
        <v/>
      </c>
      <c r="F38">
        <f>Cohort!F37*Scenarios!$C$4</f>
        <v/>
      </c>
      <c r="G38">
        <f>Cohort!G37*Scenarios!$C$4</f>
        <v/>
      </c>
      <c r="H38">
        <f>C38*Scenarios!$C$5</f>
        <v/>
      </c>
      <c r="I38">
        <f>L37*(1-D38)+H38</f>
        <v/>
      </c>
      <c r="J38">
        <f>MIN(Inputs!$C$25,I38)</f>
        <v/>
      </c>
      <c r="K38">
        <f>IF(A38&lt;Inputs!$C$17,0,Inputs!$C$16*(I38-J38))</f>
        <v/>
      </c>
      <c r="L38">
        <f>I38-J38-K38</f>
        <v/>
      </c>
      <c r="M38">
        <f>K38*Inputs!$C$18</f>
        <v/>
      </c>
      <c r="N38">
        <f>Q37*(1-D38)+H38</f>
        <v/>
      </c>
      <c r="O38">
        <f>IF(A38&lt;Inputs!$C$17,MIN(Inputs!$C$25,N38),0)</f>
        <v/>
      </c>
      <c r="P38">
        <f>IF(A38&lt;Inputs!$C$17,0,MIN(Inputs!$C$25,N38)+Inputs!$C$16*(N38-MIN(Inputs!$C$25,N38)))</f>
        <v/>
      </c>
      <c r="Q38">
        <f>N38-O38-P38</f>
        <v/>
      </c>
      <c r="R38">
        <f>P38*Inputs!$C$18</f>
        <v/>
      </c>
      <c r="S38">
        <f>Cohort!H37</f>
        <v/>
      </c>
      <c r="T38">
        <f>B38/S38</f>
        <v/>
      </c>
    </row>
    <row r="39">
      <c r="A39" t="n">
        <v>2036</v>
      </c>
      <c r="B39">
        <f>Cohort!B38*Scenarios!$C$4</f>
        <v/>
      </c>
      <c r="C39">
        <f>Cohort!C38*Scenarios!$C$4</f>
        <v/>
      </c>
      <c r="D39">
        <f>Cohort!D38</f>
        <v/>
      </c>
      <c r="E39">
        <f>Cohort!E38*Scenarios!$C$4</f>
        <v/>
      </c>
      <c r="F39">
        <f>Cohort!F38*Scenarios!$C$4</f>
        <v/>
      </c>
      <c r="G39">
        <f>Cohort!G38*Scenarios!$C$4</f>
        <v/>
      </c>
      <c r="H39">
        <f>C39*Scenarios!$C$5</f>
        <v/>
      </c>
      <c r="I39">
        <f>L38*(1-D39)+H39</f>
        <v/>
      </c>
      <c r="J39">
        <f>MIN(Inputs!$C$25,I39)</f>
        <v/>
      </c>
      <c r="K39">
        <f>IF(A39&lt;Inputs!$C$17,0,Inputs!$C$16*(I39-J39))</f>
        <v/>
      </c>
      <c r="L39">
        <f>I39-J39-K39</f>
        <v/>
      </c>
      <c r="M39">
        <f>K39*Inputs!$C$18</f>
        <v/>
      </c>
      <c r="N39">
        <f>Q38*(1-D39)+H39</f>
        <v/>
      </c>
      <c r="O39">
        <f>IF(A39&lt;Inputs!$C$17,MIN(Inputs!$C$25,N39),0)</f>
        <v/>
      </c>
      <c r="P39">
        <f>IF(A39&lt;Inputs!$C$17,0,MIN(Inputs!$C$25,N39)+Inputs!$C$16*(N39-MIN(Inputs!$C$25,N39)))</f>
        <v/>
      </c>
      <c r="Q39">
        <f>N39-O39-P39</f>
        <v/>
      </c>
      <c r="R39">
        <f>P39*Inputs!$C$18</f>
        <v/>
      </c>
      <c r="S39">
        <f>Cohort!H38</f>
        <v/>
      </c>
      <c r="T39">
        <f>B39/S39</f>
        <v/>
      </c>
    </row>
    <row r="40">
      <c r="A40" t="n">
        <v>2037</v>
      </c>
      <c r="B40">
        <f>Cohort!B39*Scenarios!$C$4</f>
        <v/>
      </c>
      <c r="C40">
        <f>Cohort!C39*Scenarios!$C$4</f>
        <v/>
      </c>
      <c r="D40">
        <f>Cohort!D39</f>
        <v/>
      </c>
      <c r="E40">
        <f>Cohort!E39*Scenarios!$C$4</f>
        <v/>
      </c>
      <c r="F40">
        <f>Cohort!F39*Scenarios!$C$4</f>
        <v/>
      </c>
      <c r="G40">
        <f>Cohort!G39*Scenarios!$C$4</f>
        <v/>
      </c>
      <c r="H40">
        <f>C40*Scenarios!$C$5</f>
        <v/>
      </c>
      <c r="I40">
        <f>L39*(1-D40)+H40</f>
        <v/>
      </c>
      <c r="J40">
        <f>MIN(Inputs!$C$25,I40)</f>
        <v/>
      </c>
      <c r="K40">
        <f>IF(A40&lt;Inputs!$C$17,0,Inputs!$C$16*(I40-J40))</f>
        <v/>
      </c>
      <c r="L40">
        <f>I40-J40-K40</f>
        <v/>
      </c>
      <c r="M40">
        <f>K40*Inputs!$C$18</f>
        <v/>
      </c>
      <c r="N40">
        <f>Q39*(1-D40)+H40</f>
        <v/>
      </c>
      <c r="O40">
        <f>IF(A40&lt;Inputs!$C$17,MIN(Inputs!$C$25,N40),0)</f>
        <v/>
      </c>
      <c r="P40">
        <f>IF(A40&lt;Inputs!$C$17,0,MIN(Inputs!$C$25,N40)+Inputs!$C$16*(N40-MIN(Inputs!$C$25,N40)))</f>
        <v/>
      </c>
      <c r="Q40">
        <f>N40-O40-P40</f>
        <v/>
      </c>
      <c r="R40">
        <f>P40*Inputs!$C$18</f>
        <v/>
      </c>
      <c r="S40">
        <f>Cohort!H39</f>
        <v/>
      </c>
      <c r="T40">
        <f>B40/S40</f>
        <v/>
      </c>
    </row>
    <row r="41">
      <c r="A41" t="n">
        <v>2038</v>
      </c>
      <c r="B41">
        <f>Cohort!B40*Scenarios!$C$4</f>
        <v/>
      </c>
      <c r="C41">
        <f>Cohort!C40*Scenarios!$C$4</f>
        <v/>
      </c>
      <c r="D41">
        <f>Cohort!D40</f>
        <v/>
      </c>
      <c r="E41">
        <f>Cohort!E40*Scenarios!$C$4</f>
        <v/>
      </c>
      <c r="F41">
        <f>Cohort!F40*Scenarios!$C$4</f>
        <v/>
      </c>
      <c r="G41">
        <f>Cohort!G40*Scenarios!$C$4</f>
        <v/>
      </c>
      <c r="H41">
        <f>C41*Scenarios!$C$5</f>
        <v/>
      </c>
      <c r="I41">
        <f>L40*(1-D41)+H41</f>
        <v/>
      </c>
      <c r="J41">
        <f>MIN(Inputs!$C$25,I41)</f>
        <v/>
      </c>
      <c r="K41">
        <f>IF(A41&lt;Inputs!$C$17,0,Inputs!$C$16*(I41-J41))</f>
        <v/>
      </c>
      <c r="L41">
        <f>I41-J41-K41</f>
        <v/>
      </c>
      <c r="M41">
        <f>K41*Inputs!$C$18</f>
        <v/>
      </c>
      <c r="N41">
        <f>Q40*(1-D41)+H41</f>
        <v/>
      </c>
      <c r="O41">
        <f>IF(A41&lt;Inputs!$C$17,MIN(Inputs!$C$25,N41),0)</f>
        <v/>
      </c>
      <c r="P41">
        <f>IF(A41&lt;Inputs!$C$17,0,MIN(Inputs!$C$25,N41)+Inputs!$C$16*(N41-MIN(Inputs!$C$25,N41)))</f>
        <v/>
      </c>
      <c r="Q41">
        <f>N41-O41-P41</f>
        <v/>
      </c>
      <c r="R41">
        <f>P41*Inputs!$C$18</f>
        <v/>
      </c>
      <c r="S41">
        <f>Cohort!H40</f>
        <v/>
      </c>
      <c r="T41">
        <f>B41/S41</f>
        <v/>
      </c>
    </row>
    <row r="42">
      <c r="A42" t="n">
        <v>2039</v>
      </c>
      <c r="B42">
        <f>Cohort!B41*Scenarios!$C$4</f>
        <v/>
      </c>
      <c r="C42">
        <f>Cohort!C41*Scenarios!$C$4</f>
        <v/>
      </c>
      <c r="D42">
        <f>Cohort!D41</f>
        <v/>
      </c>
      <c r="E42">
        <f>Cohort!E41*Scenarios!$C$4</f>
        <v/>
      </c>
      <c r="F42">
        <f>Cohort!F41*Scenarios!$C$4</f>
        <v/>
      </c>
      <c r="G42">
        <f>Cohort!G41*Scenarios!$C$4</f>
        <v/>
      </c>
      <c r="H42">
        <f>C42*Scenarios!$C$5</f>
        <v/>
      </c>
      <c r="I42">
        <f>L41*(1-D42)+H42</f>
        <v/>
      </c>
      <c r="J42">
        <f>MIN(Inputs!$C$25,I42)</f>
        <v/>
      </c>
      <c r="K42">
        <f>IF(A42&lt;Inputs!$C$17,0,Inputs!$C$16*(I42-J42))</f>
        <v/>
      </c>
      <c r="L42">
        <f>I42-J42-K42</f>
        <v/>
      </c>
      <c r="M42">
        <f>K42*Inputs!$C$18</f>
        <v/>
      </c>
      <c r="N42">
        <f>Q41*(1-D42)+H42</f>
        <v/>
      </c>
      <c r="O42">
        <f>IF(A42&lt;Inputs!$C$17,MIN(Inputs!$C$25,N42),0)</f>
        <v/>
      </c>
      <c r="P42">
        <f>IF(A42&lt;Inputs!$C$17,0,MIN(Inputs!$C$25,N42)+Inputs!$C$16*(N42-MIN(Inputs!$C$25,N42)))</f>
        <v/>
      </c>
      <c r="Q42">
        <f>N42-O42-P42</f>
        <v/>
      </c>
      <c r="R42">
        <f>P42*Inputs!$C$18</f>
        <v/>
      </c>
      <c r="S42">
        <f>Cohort!H41</f>
        <v/>
      </c>
      <c r="T42">
        <f>B42/S42</f>
        <v/>
      </c>
    </row>
    <row r="43">
      <c r="A43" t="n">
        <v>2040</v>
      </c>
      <c r="B43">
        <f>Cohort!B42*Scenarios!$C$4</f>
        <v/>
      </c>
      <c r="C43">
        <f>Cohort!C42*Scenarios!$C$4</f>
        <v/>
      </c>
      <c r="D43">
        <f>Cohort!D42</f>
        <v/>
      </c>
      <c r="E43">
        <f>Cohort!E42*Scenarios!$C$4</f>
        <v/>
      </c>
      <c r="F43">
        <f>Cohort!F42*Scenarios!$C$4</f>
        <v/>
      </c>
      <c r="G43">
        <f>Cohort!G42*Scenarios!$C$4</f>
        <v/>
      </c>
      <c r="H43">
        <f>C43*Scenarios!$C$5</f>
        <v/>
      </c>
      <c r="I43">
        <f>L42*(1-D43)+H43</f>
        <v/>
      </c>
      <c r="J43">
        <f>MIN(Inputs!$C$25,I43)</f>
        <v/>
      </c>
      <c r="K43">
        <f>IF(A43&lt;Inputs!$C$17,0,Inputs!$C$16*(I43-J43))</f>
        <v/>
      </c>
      <c r="L43">
        <f>I43-J43-K43</f>
        <v/>
      </c>
      <c r="M43">
        <f>K43*Inputs!$C$18</f>
        <v/>
      </c>
      <c r="N43">
        <f>Q42*(1-D43)+H43</f>
        <v/>
      </c>
      <c r="O43">
        <f>IF(A43&lt;Inputs!$C$17,MIN(Inputs!$C$25,N43),0)</f>
        <v/>
      </c>
      <c r="P43">
        <f>IF(A43&lt;Inputs!$C$17,0,MIN(Inputs!$C$25,N43)+Inputs!$C$16*(N43-MIN(Inputs!$C$25,N43)))</f>
        <v/>
      </c>
      <c r="Q43">
        <f>N43-O43-P43</f>
        <v/>
      </c>
      <c r="R43">
        <f>P43*Inputs!$C$18</f>
        <v/>
      </c>
      <c r="S43">
        <f>Cohort!H42</f>
        <v/>
      </c>
      <c r="T43">
        <f>B43/S43</f>
        <v/>
      </c>
    </row>
    <row r="44">
      <c r="A44" t="n">
        <v>2041</v>
      </c>
      <c r="B44">
        <f>Cohort!B43*Scenarios!$C$4</f>
        <v/>
      </c>
      <c r="C44">
        <f>Cohort!C43*Scenarios!$C$4</f>
        <v/>
      </c>
      <c r="D44">
        <f>Cohort!D43</f>
        <v/>
      </c>
      <c r="E44">
        <f>Cohort!E43*Scenarios!$C$4</f>
        <v/>
      </c>
      <c r="F44">
        <f>Cohort!F43*Scenarios!$C$4</f>
        <v/>
      </c>
      <c r="G44">
        <f>Cohort!G43*Scenarios!$C$4</f>
        <v/>
      </c>
      <c r="H44">
        <f>C44*Scenarios!$C$5</f>
        <v/>
      </c>
      <c r="I44">
        <f>L43*(1-D44)+H44</f>
        <v/>
      </c>
      <c r="J44">
        <f>MIN(Inputs!$C$25,I44)</f>
        <v/>
      </c>
      <c r="K44">
        <f>IF(A44&lt;Inputs!$C$17,0,Inputs!$C$16*(I44-J44))</f>
        <v/>
      </c>
      <c r="L44">
        <f>I44-J44-K44</f>
        <v/>
      </c>
      <c r="M44">
        <f>K44*Inputs!$C$18</f>
        <v/>
      </c>
      <c r="N44">
        <f>Q43*(1-D44)+H44</f>
        <v/>
      </c>
      <c r="O44">
        <f>IF(A44&lt;Inputs!$C$17,MIN(Inputs!$C$25,N44),0)</f>
        <v/>
      </c>
      <c r="P44">
        <f>IF(A44&lt;Inputs!$C$17,0,MIN(Inputs!$C$25,N44)+Inputs!$C$16*(N44-MIN(Inputs!$C$25,N44)))</f>
        <v/>
      </c>
      <c r="Q44">
        <f>N44-O44-P44</f>
        <v/>
      </c>
      <c r="R44">
        <f>P44*Inputs!$C$18</f>
        <v/>
      </c>
      <c r="S44">
        <f>Cohort!H43</f>
        <v/>
      </c>
      <c r="T44">
        <f>B44/S44</f>
        <v/>
      </c>
    </row>
    <row r="45">
      <c r="A45" t="n">
        <v>2042</v>
      </c>
      <c r="B45">
        <f>Cohort!B44*Scenarios!$C$4</f>
        <v/>
      </c>
      <c r="C45">
        <f>Cohort!C44*Scenarios!$C$4</f>
        <v/>
      </c>
      <c r="D45">
        <f>Cohort!D44</f>
        <v/>
      </c>
      <c r="E45">
        <f>Cohort!E44*Scenarios!$C$4</f>
        <v/>
      </c>
      <c r="F45">
        <f>Cohort!F44*Scenarios!$C$4</f>
        <v/>
      </c>
      <c r="G45">
        <f>Cohort!G44*Scenarios!$C$4</f>
        <v/>
      </c>
      <c r="H45">
        <f>C45*Scenarios!$C$5</f>
        <v/>
      </c>
      <c r="I45">
        <f>L44*(1-D45)+H45</f>
        <v/>
      </c>
      <c r="J45">
        <f>MIN(Inputs!$C$25,I45)</f>
        <v/>
      </c>
      <c r="K45">
        <f>IF(A45&lt;Inputs!$C$17,0,Inputs!$C$16*(I45-J45))</f>
        <v/>
      </c>
      <c r="L45">
        <f>I45-J45-K45</f>
        <v/>
      </c>
      <c r="M45">
        <f>K45*Inputs!$C$18</f>
        <v/>
      </c>
      <c r="N45">
        <f>Q44*(1-D45)+H45</f>
        <v/>
      </c>
      <c r="O45">
        <f>IF(A45&lt;Inputs!$C$17,MIN(Inputs!$C$25,N45),0)</f>
        <v/>
      </c>
      <c r="P45">
        <f>IF(A45&lt;Inputs!$C$17,0,MIN(Inputs!$C$25,N45)+Inputs!$C$16*(N45-MIN(Inputs!$C$25,N45)))</f>
        <v/>
      </c>
      <c r="Q45">
        <f>N45-O45-P45</f>
        <v/>
      </c>
      <c r="R45">
        <f>P45*Inputs!$C$18</f>
        <v/>
      </c>
      <c r="S45">
        <f>Cohort!H44</f>
        <v/>
      </c>
      <c r="T45">
        <f>B45/S45</f>
        <v/>
      </c>
    </row>
    <row r="46">
      <c r="A46" t="n">
        <v>2043</v>
      </c>
      <c r="B46">
        <f>Cohort!B45*Scenarios!$C$4</f>
        <v/>
      </c>
      <c r="C46">
        <f>Cohort!C45*Scenarios!$C$4</f>
        <v/>
      </c>
      <c r="D46">
        <f>Cohort!D45</f>
        <v/>
      </c>
      <c r="E46">
        <f>Cohort!E45*Scenarios!$C$4</f>
        <v/>
      </c>
      <c r="F46">
        <f>Cohort!F45*Scenarios!$C$4</f>
        <v/>
      </c>
      <c r="G46">
        <f>Cohort!G45*Scenarios!$C$4</f>
        <v/>
      </c>
      <c r="H46">
        <f>C46*Scenarios!$C$5</f>
        <v/>
      </c>
      <c r="I46">
        <f>L45*(1-D46)+H46</f>
        <v/>
      </c>
      <c r="J46">
        <f>MIN(Inputs!$C$25,I46)</f>
        <v/>
      </c>
      <c r="K46">
        <f>IF(A46&lt;Inputs!$C$17,0,Inputs!$C$16*(I46-J46))</f>
        <v/>
      </c>
      <c r="L46">
        <f>I46-J46-K46</f>
        <v/>
      </c>
      <c r="M46">
        <f>K46*Inputs!$C$18</f>
        <v/>
      </c>
      <c r="N46">
        <f>Q45*(1-D46)+H46</f>
        <v/>
      </c>
      <c r="O46">
        <f>IF(A46&lt;Inputs!$C$17,MIN(Inputs!$C$25,N46),0)</f>
        <v/>
      </c>
      <c r="P46">
        <f>IF(A46&lt;Inputs!$C$17,0,MIN(Inputs!$C$25,N46)+Inputs!$C$16*(N46-MIN(Inputs!$C$25,N46)))</f>
        <v/>
      </c>
      <c r="Q46">
        <f>N46-O46-P46</f>
        <v/>
      </c>
      <c r="R46">
        <f>P46*Inputs!$C$18</f>
        <v/>
      </c>
      <c r="S46">
        <f>Cohort!H45</f>
        <v/>
      </c>
      <c r="T46">
        <f>B46/S46</f>
        <v/>
      </c>
    </row>
    <row r="47">
      <c r="A47" t="n">
        <v>2044</v>
      </c>
      <c r="B47">
        <f>Cohort!B46*Scenarios!$C$4</f>
        <v/>
      </c>
      <c r="C47">
        <f>Cohort!C46*Scenarios!$C$4</f>
        <v/>
      </c>
      <c r="D47">
        <f>Cohort!D46</f>
        <v/>
      </c>
      <c r="E47">
        <f>Cohort!E46*Scenarios!$C$4</f>
        <v/>
      </c>
      <c r="F47">
        <f>Cohort!F46*Scenarios!$C$4</f>
        <v/>
      </c>
      <c r="G47">
        <f>Cohort!G46*Scenarios!$C$4</f>
        <v/>
      </c>
      <c r="H47">
        <f>C47*Scenarios!$C$5</f>
        <v/>
      </c>
      <c r="I47">
        <f>L46*(1-D47)+H47</f>
        <v/>
      </c>
      <c r="J47">
        <f>MIN(Inputs!$C$25,I47)</f>
        <v/>
      </c>
      <c r="K47">
        <f>IF(A47&lt;Inputs!$C$17,0,Inputs!$C$16*(I47-J47))</f>
        <v/>
      </c>
      <c r="L47">
        <f>I47-J47-K47</f>
        <v/>
      </c>
      <c r="M47">
        <f>K47*Inputs!$C$18</f>
        <v/>
      </c>
      <c r="N47">
        <f>Q46*(1-D47)+H47</f>
        <v/>
      </c>
      <c r="O47">
        <f>IF(A47&lt;Inputs!$C$17,MIN(Inputs!$C$25,N47),0)</f>
        <v/>
      </c>
      <c r="P47">
        <f>IF(A47&lt;Inputs!$C$17,0,MIN(Inputs!$C$25,N47)+Inputs!$C$16*(N47-MIN(Inputs!$C$25,N47)))</f>
        <v/>
      </c>
      <c r="Q47">
        <f>N47-O47-P47</f>
        <v/>
      </c>
      <c r="R47">
        <f>P47*Inputs!$C$18</f>
        <v/>
      </c>
      <c r="S47">
        <f>Cohort!H46</f>
        <v/>
      </c>
      <c r="T47">
        <f>B47/S47</f>
        <v/>
      </c>
    </row>
    <row r="48">
      <c r="A48" t="n">
        <v>2045</v>
      </c>
      <c r="B48">
        <f>Cohort!B47*Scenarios!$C$4</f>
        <v/>
      </c>
      <c r="C48">
        <f>Cohort!C47*Scenarios!$C$4</f>
        <v/>
      </c>
      <c r="D48">
        <f>Cohort!D47</f>
        <v/>
      </c>
      <c r="E48">
        <f>Cohort!E47*Scenarios!$C$4</f>
        <v/>
      </c>
      <c r="F48">
        <f>Cohort!F47*Scenarios!$C$4</f>
        <v/>
      </c>
      <c r="G48">
        <f>Cohort!G47*Scenarios!$C$4</f>
        <v/>
      </c>
      <c r="H48">
        <f>C48*Scenarios!$C$5</f>
        <v/>
      </c>
      <c r="I48">
        <f>L47*(1-D48)+H48</f>
        <v/>
      </c>
      <c r="J48">
        <f>MIN(Inputs!$C$25,I48)</f>
        <v/>
      </c>
      <c r="K48">
        <f>IF(A48&lt;Inputs!$C$17,0,Inputs!$C$16*(I48-J48))</f>
        <v/>
      </c>
      <c r="L48">
        <f>I48-J48-K48</f>
        <v/>
      </c>
      <c r="M48">
        <f>K48*Inputs!$C$18</f>
        <v/>
      </c>
      <c r="N48">
        <f>Q47*(1-D48)+H48</f>
        <v/>
      </c>
      <c r="O48">
        <f>IF(A48&lt;Inputs!$C$17,MIN(Inputs!$C$25,N48),0)</f>
        <v/>
      </c>
      <c r="P48">
        <f>IF(A48&lt;Inputs!$C$17,0,MIN(Inputs!$C$25,N48)+Inputs!$C$16*(N48-MIN(Inputs!$C$25,N48)))</f>
        <v/>
      </c>
      <c r="Q48">
        <f>N48-O48-P48</f>
        <v/>
      </c>
      <c r="R48">
        <f>P48*Inputs!$C$18</f>
        <v/>
      </c>
      <c r="S48">
        <f>Cohort!H47</f>
        <v/>
      </c>
      <c r="T48">
        <f>B48/S48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3" t="inlineStr">
        <is>
          <t>Eligibility case 8%. Eligible = Cohort × g; funnel inflow = newly eligible × P. Pre-launch DBS = MIN(DBS under cap, pool). After launch: A keeps DBS and the one-time therapy draws kf of the backlog; B replaces DBS (DBS-equivalent volume + kf of backlog). Rows before FY2026 grouped.</t>
        </is>
      </c>
    </row>
    <row r="2">
      <c r="A2" s="1" t="inlineStr">
        <is>
          <t>FY</t>
        </is>
      </c>
      <c r="B2" s="1" t="inlineStr">
        <is>
          <t>Eligible stock</t>
        </is>
      </c>
      <c r="C2" s="1" t="inlineStr">
        <is>
          <t>Newly eligible</t>
        </is>
      </c>
      <c r="D2" s="1" t="inlineStr">
        <is>
          <t>Exit μ</t>
        </is>
      </c>
      <c r="E2" s="1" t="inlineStr">
        <is>
          <t>Deaths</t>
        </is>
      </c>
      <c r="F2" s="1" t="inlineStr">
        <is>
          <t>Dementia</t>
        </is>
      </c>
      <c r="G2" s="1" t="inlineStr">
        <is>
          <t>Aged past cap</t>
        </is>
      </c>
      <c r="H2" s="1" t="inlineStr">
        <is>
          <t>Funnel inflow (×P)</t>
        </is>
      </c>
      <c r="I2" s="1" t="inlineStr">
        <is>
          <t>A: pool available</t>
        </is>
      </c>
      <c r="J2" s="1" t="inlineStr">
        <is>
          <t>A: DBS</t>
        </is>
      </c>
      <c r="K2" s="1" t="inlineStr">
        <is>
          <t>A: one-time</t>
        </is>
      </c>
      <c r="L2" s="1" t="inlineStr">
        <is>
          <t>A: backlog end</t>
        </is>
      </c>
      <c r="M2" s="1" t="inlineStr">
        <is>
          <t>A: $M</t>
        </is>
      </c>
      <c r="N2" s="1" t="inlineStr">
        <is>
          <t>B: pool available</t>
        </is>
      </c>
      <c r="O2" s="1" t="inlineStr">
        <is>
          <t>B: DBS</t>
        </is>
      </c>
      <c r="P2" s="1" t="inlineStr">
        <is>
          <t>B: one-time</t>
        </is>
      </c>
      <c r="Q2" s="1" t="inlineStr">
        <is>
          <t>B: backlog end</t>
        </is>
      </c>
      <c r="R2" s="1" t="inlineStr">
        <is>
          <t>B: $M</t>
        </is>
      </c>
      <c r="S2" s="1" t="inlineStr">
        <is>
          <t>PD prevalent</t>
        </is>
      </c>
      <c r="T2" s="1" t="inlineStr">
        <is>
          <t>Eligible % of PD</t>
        </is>
      </c>
    </row>
    <row r="3">
      <c r="A3" t="n">
        <v>2000</v>
      </c>
      <c r="L3" t="n">
        <v>0</v>
      </c>
      <c r="Q3" t="n">
        <v>0</v>
      </c>
    </row>
    <row r="4" hidden="1" outlineLevel="1">
      <c r="A4" t="n">
        <v>2001</v>
      </c>
      <c r="B4">
        <f>Cohort!B3*Scenarios!$D$4</f>
        <v/>
      </c>
      <c r="C4">
        <f>Cohort!C3*Scenarios!$D$4</f>
        <v/>
      </c>
      <c r="D4">
        <f>Cohort!D3</f>
        <v/>
      </c>
      <c r="E4">
        <f>Cohort!E3*Scenarios!$D$4</f>
        <v/>
      </c>
      <c r="F4">
        <f>Cohort!F3*Scenarios!$D$4</f>
        <v/>
      </c>
      <c r="G4">
        <f>Cohort!G3*Scenarios!$D$4</f>
        <v/>
      </c>
      <c r="H4">
        <f>C4*Scenarios!$D$5</f>
        <v/>
      </c>
      <c r="I4">
        <f>L3*(1-D4)+H4</f>
        <v/>
      </c>
      <c r="J4">
        <f>MIN(Inputs!$C$25,I4)</f>
        <v/>
      </c>
      <c r="K4">
        <f>IF(A4&lt;Inputs!$C$17,0,Inputs!$C$16*(I4-J4))</f>
        <v/>
      </c>
      <c r="L4">
        <f>I4-J4-K4</f>
        <v/>
      </c>
      <c r="M4">
        <f>K4*Inputs!$C$18</f>
        <v/>
      </c>
      <c r="N4">
        <f>Q3*(1-D4)+H4</f>
        <v/>
      </c>
      <c r="O4">
        <f>IF(A4&lt;Inputs!$C$17,MIN(Inputs!$C$25,N4),0)</f>
        <v/>
      </c>
      <c r="P4">
        <f>IF(A4&lt;Inputs!$C$17,0,MIN(Inputs!$C$25,N4)+Inputs!$C$16*(N4-MIN(Inputs!$C$25,N4)))</f>
        <v/>
      </c>
      <c r="Q4">
        <f>N4-O4-P4</f>
        <v/>
      </c>
      <c r="R4">
        <f>P4*Inputs!$C$18</f>
        <v/>
      </c>
      <c r="S4">
        <f>Cohort!H3</f>
        <v/>
      </c>
      <c r="T4">
        <f>B4/S4</f>
        <v/>
      </c>
    </row>
    <row r="5" hidden="1" outlineLevel="1">
      <c r="A5" t="n">
        <v>2002</v>
      </c>
      <c r="B5">
        <f>Cohort!B4*Scenarios!$D$4</f>
        <v/>
      </c>
      <c r="C5">
        <f>Cohort!C4*Scenarios!$D$4</f>
        <v/>
      </c>
      <c r="D5">
        <f>Cohort!D4</f>
        <v/>
      </c>
      <c r="E5">
        <f>Cohort!E4*Scenarios!$D$4</f>
        <v/>
      </c>
      <c r="F5">
        <f>Cohort!F4*Scenarios!$D$4</f>
        <v/>
      </c>
      <c r="G5">
        <f>Cohort!G4*Scenarios!$D$4</f>
        <v/>
      </c>
      <c r="H5">
        <f>C5*Scenarios!$D$5</f>
        <v/>
      </c>
      <c r="I5">
        <f>L4*(1-D5)+H5</f>
        <v/>
      </c>
      <c r="J5">
        <f>MIN(Inputs!$C$25,I5)</f>
        <v/>
      </c>
      <c r="K5">
        <f>IF(A5&lt;Inputs!$C$17,0,Inputs!$C$16*(I5-J5))</f>
        <v/>
      </c>
      <c r="L5">
        <f>I5-J5-K5</f>
        <v/>
      </c>
      <c r="M5">
        <f>K5*Inputs!$C$18</f>
        <v/>
      </c>
      <c r="N5">
        <f>Q4*(1-D5)+H5</f>
        <v/>
      </c>
      <c r="O5">
        <f>IF(A5&lt;Inputs!$C$17,MIN(Inputs!$C$25,N5),0)</f>
        <v/>
      </c>
      <c r="P5">
        <f>IF(A5&lt;Inputs!$C$17,0,MIN(Inputs!$C$25,N5)+Inputs!$C$16*(N5-MIN(Inputs!$C$25,N5)))</f>
        <v/>
      </c>
      <c r="Q5">
        <f>N5-O5-P5</f>
        <v/>
      </c>
      <c r="R5">
        <f>P5*Inputs!$C$18</f>
        <v/>
      </c>
      <c r="S5">
        <f>Cohort!H4</f>
        <v/>
      </c>
      <c r="T5">
        <f>B5/S5</f>
        <v/>
      </c>
    </row>
    <row r="6" hidden="1" outlineLevel="1">
      <c r="A6" t="n">
        <v>2003</v>
      </c>
      <c r="B6">
        <f>Cohort!B5*Scenarios!$D$4</f>
        <v/>
      </c>
      <c r="C6">
        <f>Cohort!C5*Scenarios!$D$4</f>
        <v/>
      </c>
      <c r="D6">
        <f>Cohort!D5</f>
        <v/>
      </c>
      <c r="E6">
        <f>Cohort!E5*Scenarios!$D$4</f>
        <v/>
      </c>
      <c r="F6">
        <f>Cohort!F5*Scenarios!$D$4</f>
        <v/>
      </c>
      <c r="G6">
        <f>Cohort!G5*Scenarios!$D$4</f>
        <v/>
      </c>
      <c r="H6">
        <f>C6*Scenarios!$D$5</f>
        <v/>
      </c>
      <c r="I6">
        <f>L5*(1-D6)+H6</f>
        <v/>
      </c>
      <c r="J6">
        <f>MIN(Inputs!$C$25,I6)</f>
        <v/>
      </c>
      <c r="K6">
        <f>IF(A6&lt;Inputs!$C$17,0,Inputs!$C$16*(I6-J6))</f>
        <v/>
      </c>
      <c r="L6">
        <f>I6-J6-K6</f>
        <v/>
      </c>
      <c r="M6">
        <f>K6*Inputs!$C$18</f>
        <v/>
      </c>
      <c r="N6">
        <f>Q5*(1-D6)+H6</f>
        <v/>
      </c>
      <c r="O6">
        <f>IF(A6&lt;Inputs!$C$17,MIN(Inputs!$C$25,N6),0)</f>
        <v/>
      </c>
      <c r="P6">
        <f>IF(A6&lt;Inputs!$C$17,0,MIN(Inputs!$C$25,N6)+Inputs!$C$16*(N6-MIN(Inputs!$C$25,N6)))</f>
        <v/>
      </c>
      <c r="Q6">
        <f>N6-O6-P6</f>
        <v/>
      </c>
      <c r="R6">
        <f>P6*Inputs!$C$18</f>
        <v/>
      </c>
      <c r="S6">
        <f>Cohort!H5</f>
        <v/>
      </c>
      <c r="T6">
        <f>B6/S6</f>
        <v/>
      </c>
    </row>
    <row r="7" hidden="1" outlineLevel="1">
      <c r="A7" t="n">
        <v>2004</v>
      </c>
      <c r="B7">
        <f>Cohort!B6*Scenarios!$D$4</f>
        <v/>
      </c>
      <c r="C7">
        <f>Cohort!C6*Scenarios!$D$4</f>
        <v/>
      </c>
      <c r="D7">
        <f>Cohort!D6</f>
        <v/>
      </c>
      <c r="E7">
        <f>Cohort!E6*Scenarios!$D$4</f>
        <v/>
      </c>
      <c r="F7">
        <f>Cohort!F6*Scenarios!$D$4</f>
        <v/>
      </c>
      <c r="G7">
        <f>Cohort!G6*Scenarios!$D$4</f>
        <v/>
      </c>
      <c r="H7">
        <f>C7*Scenarios!$D$5</f>
        <v/>
      </c>
      <c r="I7">
        <f>L6*(1-D7)+H7</f>
        <v/>
      </c>
      <c r="J7">
        <f>MIN(Inputs!$C$25,I7)</f>
        <v/>
      </c>
      <c r="K7">
        <f>IF(A7&lt;Inputs!$C$17,0,Inputs!$C$16*(I7-J7))</f>
        <v/>
      </c>
      <c r="L7">
        <f>I7-J7-K7</f>
        <v/>
      </c>
      <c r="M7">
        <f>K7*Inputs!$C$18</f>
        <v/>
      </c>
      <c r="N7">
        <f>Q6*(1-D7)+H7</f>
        <v/>
      </c>
      <c r="O7">
        <f>IF(A7&lt;Inputs!$C$17,MIN(Inputs!$C$25,N7),0)</f>
        <v/>
      </c>
      <c r="P7">
        <f>IF(A7&lt;Inputs!$C$17,0,MIN(Inputs!$C$25,N7)+Inputs!$C$16*(N7-MIN(Inputs!$C$25,N7)))</f>
        <v/>
      </c>
      <c r="Q7">
        <f>N7-O7-P7</f>
        <v/>
      </c>
      <c r="R7">
        <f>P7*Inputs!$C$18</f>
        <v/>
      </c>
      <c r="S7">
        <f>Cohort!H6</f>
        <v/>
      </c>
      <c r="T7">
        <f>B7/S7</f>
        <v/>
      </c>
    </row>
    <row r="8" hidden="1" outlineLevel="1">
      <c r="A8" t="n">
        <v>2005</v>
      </c>
      <c r="B8">
        <f>Cohort!B7*Scenarios!$D$4</f>
        <v/>
      </c>
      <c r="C8">
        <f>Cohort!C7*Scenarios!$D$4</f>
        <v/>
      </c>
      <c r="D8">
        <f>Cohort!D7</f>
        <v/>
      </c>
      <c r="E8">
        <f>Cohort!E7*Scenarios!$D$4</f>
        <v/>
      </c>
      <c r="F8">
        <f>Cohort!F7*Scenarios!$D$4</f>
        <v/>
      </c>
      <c r="G8">
        <f>Cohort!G7*Scenarios!$D$4</f>
        <v/>
      </c>
      <c r="H8">
        <f>C8*Scenarios!$D$5</f>
        <v/>
      </c>
      <c r="I8">
        <f>L7*(1-D8)+H8</f>
        <v/>
      </c>
      <c r="J8">
        <f>MIN(Inputs!$C$25,I8)</f>
        <v/>
      </c>
      <c r="K8">
        <f>IF(A8&lt;Inputs!$C$17,0,Inputs!$C$16*(I8-J8))</f>
        <v/>
      </c>
      <c r="L8">
        <f>I8-J8-K8</f>
        <v/>
      </c>
      <c r="M8">
        <f>K8*Inputs!$C$18</f>
        <v/>
      </c>
      <c r="N8">
        <f>Q7*(1-D8)+H8</f>
        <v/>
      </c>
      <c r="O8">
        <f>IF(A8&lt;Inputs!$C$17,MIN(Inputs!$C$25,N8),0)</f>
        <v/>
      </c>
      <c r="P8">
        <f>IF(A8&lt;Inputs!$C$17,0,MIN(Inputs!$C$25,N8)+Inputs!$C$16*(N8-MIN(Inputs!$C$25,N8)))</f>
        <v/>
      </c>
      <c r="Q8">
        <f>N8-O8-P8</f>
        <v/>
      </c>
      <c r="R8">
        <f>P8*Inputs!$C$18</f>
        <v/>
      </c>
      <c r="S8">
        <f>Cohort!H7</f>
        <v/>
      </c>
      <c r="T8">
        <f>B8/S8</f>
        <v/>
      </c>
    </row>
    <row r="9" hidden="1" outlineLevel="1">
      <c r="A9" t="n">
        <v>2006</v>
      </c>
      <c r="B9">
        <f>Cohort!B8*Scenarios!$D$4</f>
        <v/>
      </c>
      <c r="C9">
        <f>Cohort!C8*Scenarios!$D$4</f>
        <v/>
      </c>
      <c r="D9">
        <f>Cohort!D8</f>
        <v/>
      </c>
      <c r="E9">
        <f>Cohort!E8*Scenarios!$D$4</f>
        <v/>
      </c>
      <c r="F9">
        <f>Cohort!F8*Scenarios!$D$4</f>
        <v/>
      </c>
      <c r="G9">
        <f>Cohort!G8*Scenarios!$D$4</f>
        <v/>
      </c>
      <c r="H9">
        <f>C9*Scenarios!$D$5</f>
        <v/>
      </c>
      <c r="I9">
        <f>L8*(1-D9)+H9</f>
        <v/>
      </c>
      <c r="J9">
        <f>MIN(Inputs!$C$25,I9)</f>
        <v/>
      </c>
      <c r="K9">
        <f>IF(A9&lt;Inputs!$C$17,0,Inputs!$C$16*(I9-J9))</f>
        <v/>
      </c>
      <c r="L9">
        <f>I9-J9-K9</f>
        <v/>
      </c>
      <c r="M9">
        <f>K9*Inputs!$C$18</f>
        <v/>
      </c>
      <c r="N9">
        <f>Q8*(1-D9)+H9</f>
        <v/>
      </c>
      <c r="O9">
        <f>IF(A9&lt;Inputs!$C$17,MIN(Inputs!$C$25,N9),0)</f>
        <v/>
      </c>
      <c r="P9">
        <f>IF(A9&lt;Inputs!$C$17,0,MIN(Inputs!$C$25,N9)+Inputs!$C$16*(N9-MIN(Inputs!$C$25,N9)))</f>
        <v/>
      </c>
      <c r="Q9">
        <f>N9-O9-P9</f>
        <v/>
      </c>
      <c r="R9">
        <f>P9*Inputs!$C$18</f>
        <v/>
      </c>
      <c r="S9">
        <f>Cohort!H8</f>
        <v/>
      </c>
      <c r="T9">
        <f>B9/S9</f>
        <v/>
      </c>
    </row>
    <row r="10" hidden="1" outlineLevel="1">
      <c r="A10" t="n">
        <v>2007</v>
      </c>
      <c r="B10">
        <f>Cohort!B9*Scenarios!$D$4</f>
        <v/>
      </c>
      <c r="C10">
        <f>Cohort!C9*Scenarios!$D$4</f>
        <v/>
      </c>
      <c r="D10">
        <f>Cohort!D9</f>
        <v/>
      </c>
      <c r="E10">
        <f>Cohort!E9*Scenarios!$D$4</f>
        <v/>
      </c>
      <c r="F10">
        <f>Cohort!F9*Scenarios!$D$4</f>
        <v/>
      </c>
      <c r="G10">
        <f>Cohort!G9*Scenarios!$D$4</f>
        <v/>
      </c>
      <c r="H10">
        <f>C10*Scenarios!$D$5</f>
        <v/>
      </c>
      <c r="I10">
        <f>L9*(1-D10)+H10</f>
        <v/>
      </c>
      <c r="J10">
        <f>MIN(Inputs!$C$25,I10)</f>
        <v/>
      </c>
      <c r="K10">
        <f>IF(A10&lt;Inputs!$C$17,0,Inputs!$C$16*(I10-J10))</f>
        <v/>
      </c>
      <c r="L10">
        <f>I10-J10-K10</f>
        <v/>
      </c>
      <c r="M10">
        <f>K10*Inputs!$C$18</f>
        <v/>
      </c>
      <c r="N10">
        <f>Q9*(1-D10)+H10</f>
        <v/>
      </c>
      <c r="O10">
        <f>IF(A10&lt;Inputs!$C$17,MIN(Inputs!$C$25,N10),0)</f>
        <v/>
      </c>
      <c r="P10">
        <f>IF(A10&lt;Inputs!$C$17,0,MIN(Inputs!$C$25,N10)+Inputs!$C$16*(N10-MIN(Inputs!$C$25,N10)))</f>
        <v/>
      </c>
      <c r="Q10">
        <f>N10-O10-P10</f>
        <v/>
      </c>
      <c r="R10">
        <f>P10*Inputs!$C$18</f>
        <v/>
      </c>
      <c r="S10">
        <f>Cohort!H9</f>
        <v/>
      </c>
      <c r="T10">
        <f>B10/S10</f>
        <v/>
      </c>
    </row>
    <row r="11" hidden="1" outlineLevel="1">
      <c r="A11" t="n">
        <v>2008</v>
      </c>
      <c r="B11">
        <f>Cohort!B10*Scenarios!$D$4</f>
        <v/>
      </c>
      <c r="C11">
        <f>Cohort!C10*Scenarios!$D$4</f>
        <v/>
      </c>
      <c r="D11">
        <f>Cohort!D10</f>
        <v/>
      </c>
      <c r="E11">
        <f>Cohort!E10*Scenarios!$D$4</f>
        <v/>
      </c>
      <c r="F11">
        <f>Cohort!F10*Scenarios!$D$4</f>
        <v/>
      </c>
      <c r="G11">
        <f>Cohort!G10*Scenarios!$D$4</f>
        <v/>
      </c>
      <c r="H11">
        <f>C11*Scenarios!$D$5</f>
        <v/>
      </c>
      <c r="I11">
        <f>L10*(1-D11)+H11</f>
        <v/>
      </c>
      <c r="J11">
        <f>MIN(Inputs!$C$25,I11)</f>
        <v/>
      </c>
      <c r="K11">
        <f>IF(A11&lt;Inputs!$C$17,0,Inputs!$C$16*(I11-J11))</f>
        <v/>
      </c>
      <c r="L11">
        <f>I11-J11-K11</f>
        <v/>
      </c>
      <c r="M11">
        <f>K11*Inputs!$C$18</f>
        <v/>
      </c>
      <c r="N11">
        <f>Q10*(1-D11)+H11</f>
        <v/>
      </c>
      <c r="O11">
        <f>IF(A11&lt;Inputs!$C$17,MIN(Inputs!$C$25,N11),0)</f>
        <v/>
      </c>
      <c r="P11">
        <f>IF(A11&lt;Inputs!$C$17,0,MIN(Inputs!$C$25,N11)+Inputs!$C$16*(N11-MIN(Inputs!$C$25,N11)))</f>
        <v/>
      </c>
      <c r="Q11">
        <f>N11-O11-P11</f>
        <v/>
      </c>
      <c r="R11">
        <f>P11*Inputs!$C$18</f>
        <v/>
      </c>
      <c r="S11">
        <f>Cohort!H10</f>
        <v/>
      </c>
      <c r="T11">
        <f>B11/S11</f>
        <v/>
      </c>
    </row>
    <row r="12" hidden="1" outlineLevel="1">
      <c r="A12" t="n">
        <v>2009</v>
      </c>
      <c r="B12">
        <f>Cohort!B11*Scenarios!$D$4</f>
        <v/>
      </c>
      <c r="C12">
        <f>Cohort!C11*Scenarios!$D$4</f>
        <v/>
      </c>
      <c r="D12">
        <f>Cohort!D11</f>
        <v/>
      </c>
      <c r="E12">
        <f>Cohort!E11*Scenarios!$D$4</f>
        <v/>
      </c>
      <c r="F12">
        <f>Cohort!F11*Scenarios!$D$4</f>
        <v/>
      </c>
      <c r="G12">
        <f>Cohort!G11*Scenarios!$D$4</f>
        <v/>
      </c>
      <c r="H12">
        <f>C12*Scenarios!$D$5</f>
        <v/>
      </c>
      <c r="I12">
        <f>L11*(1-D12)+H12</f>
        <v/>
      </c>
      <c r="J12">
        <f>MIN(Inputs!$C$25,I12)</f>
        <v/>
      </c>
      <c r="K12">
        <f>IF(A12&lt;Inputs!$C$17,0,Inputs!$C$16*(I12-J12))</f>
        <v/>
      </c>
      <c r="L12">
        <f>I12-J12-K12</f>
        <v/>
      </c>
      <c r="M12">
        <f>K12*Inputs!$C$18</f>
        <v/>
      </c>
      <c r="N12">
        <f>Q11*(1-D12)+H12</f>
        <v/>
      </c>
      <c r="O12">
        <f>IF(A12&lt;Inputs!$C$17,MIN(Inputs!$C$25,N12),0)</f>
        <v/>
      </c>
      <c r="P12">
        <f>IF(A12&lt;Inputs!$C$17,0,MIN(Inputs!$C$25,N12)+Inputs!$C$16*(N12-MIN(Inputs!$C$25,N12)))</f>
        <v/>
      </c>
      <c r="Q12">
        <f>N12-O12-P12</f>
        <v/>
      </c>
      <c r="R12">
        <f>P12*Inputs!$C$18</f>
        <v/>
      </c>
      <c r="S12">
        <f>Cohort!H11</f>
        <v/>
      </c>
      <c r="T12">
        <f>B12/S12</f>
        <v/>
      </c>
    </row>
    <row r="13" hidden="1" outlineLevel="1">
      <c r="A13" t="n">
        <v>2010</v>
      </c>
      <c r="B13">
        <f>Cohort!B12*Scenarios!$D$4</f>
        <v/>
      </c>
      <c r="C13">
        <f>Cohort!C12*Scenarios!$D$4</f>
        <v/>
      </c>
      <c r="D13">
        <f>Cohort!D12</f>
        <v/>
      </c>
      <c r="E13">
        <f>Cohort!E12*Scenarios!$D$4</f>
        <v/>
      </c>
      <c r="F13">
        <f>Cohort!F12*Scenarios!$D$4</f>
        <v/>
      </c>
      <c r="G13">
        <f>Cohort!G12*Scenarios!$D$4</f>
        <v/>
      </c>
      <c r="H13">
        <f>C13*Scenarios!$D$5</f>
        <v/>
      </c>
      <c r="I13">
        <f>L12*(1-D13)+H13</f>
        <v/>
      </c>
      <c r="J13">
        <f>MIN(Inputs!$C$25,I13)</f>
        <v/>
      </c>
      <c r="K13">
        <f>IF(A13&lt;Inputs!$C$17,0,Inputs!$C$16*(I13-J13))</f>
        <v/>
      </c>
      <c r="L13">
        <f>I13-J13-K13</f>
        <v/>
      </c>
      <c r="M13">
        <f>K13*Inputs!$C$18</f>
        <v/>
      </c>
      <c r="N13">
        <f>Q12*(1-D13)+H13</f>
        <v/>
      </c>
      <c r="O13">
        <f>IF(A13&lt;Inputs!$C$17,MIN(Inputs!$C$25,N13),0)</f>
        <v/>
      </c>
      <c r="P13">
        <f>IF(A13&lt;Inputs!$C$17,0,MIN(Inputs!$C$25,N13)+Inputs!$C$16*(N13-MIN(Inputs!$C$25,N13)))</f>
        <v/>
      </c>
      <c r="Q13">
        <f>N13-O13-P13</f>
        <v/>
      </c>
      <c r="R13">
        <f>P13*Inputs!$C$18</f>
        <v/>
      </c>
      <c r="S13">
        <f>Cohort!H12</f>
        <v/>
      </c>
      <c r="T13">
        <f>B13/S13</f>
        <v/>
      </c>
    </row>
    <row r="14" hidden="1" outlineLevel="1">
      <c r="A14" t="n">
        <v>2011</v>
      </c>
      <c r="B14">
        <f>Cohort!B13*Scenarios!$D$4</f>
        <v/>
      </c>
      <c r="C14">
        <f>Cohort!C13*Scenarios!$D$4</f>
        <v/>
      </c>
      <c r="D14">
        <f>Cohort!D13</f>
        <v/>
      </c>
      <c r="E14">
        <f>Cohort!E13*Scenarios!$D$4</f>
        <v/>
      </c>
      <c r="F14">
        <f>Cohort!F13*Scenarios!$D$4</f>
        <v/>
      </c>
      <c r="G14">
        <f>Cohort!G13*Scenarios!$D$4</f>
        <v/>
      </c>
      <c r="H14">
        <f>C14*Scenarios!$D$5</f>
        <v/>
      </c>
      <c r="I14">
        <f>L13*(1-D14)+H14</f>
        <v/>
      </c>
      <c r="J14">
        <f>MIN(Inputs!$C$25,I14)</f>
        <v/>
      </c>
      <c r="K14">
        <f>IF(A14&lt;Inputs!$C$17,0,Inputs!$C$16*(I14-J14))</f>
        <v/>
      </c>
      <c r="L14">
        <f>I14-J14-K14</f>
        <v/>
      </c>
      <c r="M14">
        <f>K14*Inputs!$C$18</f>
        <v/>
      </c>
      <c r="N14">
        <f>Q13*(1-D14)+H14</f>
        <v/>
      </c>
      <c r="O14">
        <f>IF(A14&lt;Inputs!$C$17,MIN(Inputs!$C$25,N14),0)</f>
        <v/>
      </c>
      <c r="P14">
        <f>IF(A14&lt;Inputs!$C$17,0,MIN(Inputs!$C$25,N14)+Inputs!$C$16*(N14-MIN(Inputs!$C$25,N14)))</f>
        <v/>
      </c>
      <c r="Q14">
        <f>N14-O14-P14</f>
        <v/>
      </c>
      <c r="R14">
        <f>P14*Inputs!$C$18</f>
        <v/>
      </c>
      <c r="S14">
        <f>Cohort!H13</f>
        <v/>
      </c>
      <c r="T14">
        <f>B14/S14</f>
        <v/>
      </c>
    </row>
    <row r="15" hidden="1" outlineLevel="1">
      <c r="A15" t="n">
        <v>2012</v>
      </c>
      <c r="B15">
        <f>Cohort!B14*Scenarios!$D$4</f>
        <v/>
      </c>
      <c r="C15">
        <f>Cohort!C14*Scenarios!$D$4</f>
        <v/>
      </c>
      <c r="D15">
        <f>Cohort!D14</f>
        <v/>
      </c>
      <c r="E15">
        <f>Cohort!E14*Scenarios!$D$4</f>
        <v/>
      </c>
      <c r="F15">
        <f>Cohort!F14*Scenarios!$D$4</f>
        <v/>
      </c>
      <c r="G15">
        <f>Cohort!G14*Scenarios!$D$4</f>
        <v/>
      </c>
      <c r="H15">
        <f>C15*Scenarios!$D$5</f>
        <v/>
      </c>
      <c r="I15">
        <f>L14*(1-D15)+H15</f>
        <v/>
      </c>
      <c r="J15">
        <f>MIN(Inputs!$C$25,I15)</f>
        <v/>
      </c>
      <c r="K15">
        <f>IF(A15&lt;Inputs!$C$17,0,Inputs!$C$16*(I15-J15))</f>
        <v/>
      </c>
      <c r="L15">
        <f>I15-J15-K15</f>
        <v/>
      </c>
      <c r="M15">
        <f>K15*Inputs!$C$18</f>
        <v/>
      </c>
      <c r="N15">
        <f>Q14*(1-D15)+H15</f>
        <v/>
      </c>
      <c r="O15">
        <f>IF(A15&lt;Inputs!$C$17,MIN(Inputs!$C$25,N15),0)</f>
        <v/>
      </c>
      <c r="P15">
        <f>IF(A15&lt;Inputs!$C$17,0,MIN(Inputs!$C$25,N15)+Inputs!$C$16*(N15-MIN(Inputs!$C$25,N15)))</f>
        <v/>
      </c>
      <c r="Q15">
        <f>N15-O15-P15</f>
        <v/>
      </c>
      <c r="R15">
        <f>P15*Inputs!$C$18</f>
        <v/>
      </c>
      <c r="S15">
        <f>Cohort!H14</f>
        <v/>
      </c>
      <c r="T15">
        <f>B15/S15</f>
        <v/>
      </c>
    </row>
    <row r="16" hidden="1" outlineLevel="1">
      <c r="A16" t="n">
        <v>2013</v>
      </c>
      <c r="B16">
        <f>Cohort!B15*Scenarios!$D$4</f>
        <v/>
      </c>
      <c r="C16">
        <f>Cohort!C15*Scenarios!$D$4</f>
        <v/>
      </c>
      <c r="D16">
        <f>Cohort!D15</f>
        <v/>
      </c>
      <c r="E16">
        <f>Cohort!E15*Scenarios!$D$4</f>
        <v/>
      </c>
      <c r="F16">
        <f>Cohort!F15*Scenarios!$D$4</f>
        <v/>
      </c>
      <c r="G16">
        <f>Cohort!G15*Scenarios!$D$4</f>
        <v/>
      </c>
      <c r="H16">
        <f>C16*Scenarios!$D$5</f>
        <v/>
      </c>
      <c r="I16">
        <f>L15*(1-D16)+H16</f>
        <v/>
      </c>
      <c r="J16">
        <f>MIN(Inputs!$C$25,I16)</f>
        <v/>
      </c>
      <c r="K16">
        <f>IF(A16&lt;Inputs!$C$17,0,Inputs!$C$16*(I16-J16))</f>
        <v/>
      </c>
      <c r="L16">
        <f>I16-J16-K16</f>
        <v/>
      </c>
      <c r="M16">
        <f>K16*Inputs!$C$18</f>
        <v/>
      </c>
      <c r="N16">
        <f>Q15*(1-D16)+H16</f>
        <v/>
      </c>
      <c r="O16">
        <f>IF(A16&lt;Inputs!$C$17,MIN(Inputs!$C$25,N16),0)</f>
        <v/>
      </c>
      <c r="P16">
        <f>IF(A16&lt;Inputs!$C$17,0,MIN(Inputs!$C$25,N16)+Inputs!$C$16*(N16-MIN(Inputs!$C$25,N16)))</f>
        <v/>
      </c>
      <c r="Q16">
        <f>N16-O16-P16</f>
        <v/>
      </c>
      <c r="R16">
        <f>P16*Inputs!$C$18</f>
        <v/>
      </c>
      <c r="S16">
        <f>Cohort!H15</f>
        <v/>
      </c>
      <c r="T16">
        <f>B16/S16</f>
        <v/>
      </c>
    </row>
    <row r="17" hidden="1" outlineLevel="1">
      <c r="A17" t="n">
        <v>2014</v>
      </c>
      <c r="B17">
        <f>Cohort!B16*Scenarios!$D$4</f>
        <v/>
      </c>
      <c r="C17">
        <f>Cohort!C16*Scenarios!$D$4</f>
        <v/>
      </c>
      <c r="D17">
        <f>Cohort!D16</f>
        <v/>
      </c>
      <c r="E17">
        <f>Cohort!E16*Scenarios!$D$4</f>
        <v/>
      </c>
      <c r="F17">
        <f>Cohort!F16*Scenarios!$D$4</f>
        <v/>
      </c>
      <c r="G17">
        <f>Cohort!G16*Scenarios!$D$4</f>
        <v/>
      </c>
      <c r="H17">
        <f>C17*Scenarios!$D$5</f>
        <v/>
      </c>
      <c r="I17">
        <f>L16*(1-D17)+H17</f>
        <v/>
      </c>
      <c r="J17">
        <f>MIN(Inputs!$C$25,I17)</f>
        <v/>
      </c>
      <c r="K17">
        <f>IF(A17&lt;Inputs!$C$17,0,Inputs!$C$16*(I17-J17))</f>
        <v/>
      </c>
      <c r="L17">
        <f>I17-J17-K17</f>
        <v/>
      </c>
      <c r="M17">
        <f>K17*Inputs!$C$18</f>
        <v/>
      </c>
      <c r="N17">
        <f>Q16*(1-D17)+H17</f>
        <v/>
      </c>
      <c r="O17">
        <f>IF(A17&lt;Inputs!$C$17,MIN(Inputs!$C$25,N17),0)</f>
        <v/>
      </c>
      <c r="P17">
        <f>IF(A17&lt;Inputs!$C$17,0,MIN(Inputs!$C$25,N17)+Inputs!$C$16*(N17-MIN(Inputs!$C$25,N17)))</f>
        <v/>
      </c>
      <c r="Q17">
        <f>N17-O17-P17</f>
        <v/>
      </c>
      <c r="R17">
        <f>P17*Inputs!$C$18</f>
        <v/>
      </c>
      <c r="S17">
        <f>Cohort!H16</f>
        <v/>
      </c>
      <c r="T17">
        <f>B17/S17</f>
        <v/>
      </c>
    </row>
    <row r="18" hidden="1" outlineLevel="1">
      <c r="A18" t="n">
        <v>2015</v>
      </c>
      <c r="B18">
        <f>Cohort!B17*Scenarios!$D$4</f>
        <v/>
      </c>
      <c r="C18">
        <f>Cohort!C17*Scenarios!$D$4</f>
        <v/>
      </c>
      <c r="D18">
        <f>Cohort!D17</f>
        <v/>
      </c>
      <c r="E18">
        <f>Cohort!E17*Scenarios!$D$4</f>
        <v/>
      </c>
      <c r="F18">
        <f>Cohort!F17*Scenarios!$D$4</f>
        <v/>
      </c>
      <c r="G18">
        <f>Cohort!G17*Scenarios!$D$4</f>
        <v/>
      </c>
      <c r="H18">
        <f>C18*Scenarios!$D$5</f>
        <v/>
      </c>
      <c r="I18">
        <f>L17*(1-D18)+H18</f>
        <v/>
      </c>
      <c r="J18">
        <f>MIN(Inputs!$C$25,I18)</f>
        <v/>
      </c>
      <c r="K18">
        <f>IF(A18&lt;Inputs!$C$17,0,Inputs!$C$16*(I18-J18))</f>
        <v/>
      </c>
      <c r="L18">
        <f>I18-J18-K18</f>
        <v/>
      </c>
      <c r="M18">
        <f>K18*Inputs!$C$18</f>
        <v/>
      </c>
      <c r="N18">
        <f>Q17*(1-D18)+H18</f>
        <v/>
      </c>
      <c r="O18">
        <f>IF(A18&lt;Inputs!$C$17,MIN(Inputs!$C$25,N18),0)</f>
        <v/>
      </c>
      <c r="P18">
        <f>IF(A18&lt;Inputs!$C$17,0,MIN(Inputs!$C$25,N18)+Inputs!$C$16*(N18-MIN(Inputs!$C$25,N18)))</f>
        <v/>
      </c>
      <c r="Q18">
        <f>N18-O18-P18</f>
        <v/>
      </c>
      <c r="R18">
        <f>P18*Inputs!$C$18</f>
        <v/>
      </c>
      <c r="S18">
        <f>Cohort!H17</f>
        <v/>
      </c>
      <c r="T18">
        <f>B18/S18</f>
        <v/>
      </c>
    </row>
    <row r="19" hidden="1" outlineLevel="1">
      <c r="A19" t="n">
        <v>2016</v>
      </c>
      <c r="B19">
        <f>Cohort!B18*Scenarios!$D$4</f>
        <v/>
      </c>
      <c r="C19">
        <f>Cohort!C18*Scenarios!$D$4</f>
        <v/>
      </c>
      <c r="D19">
        <f>Cohort!D18</f>
        <v/>
      </c>
      <c r="E19">
        <f>Cohort!E18*Scenarios!$D$4</f>
        <v/>
      </c>
      <c r="F19">
        <f>Cohort!F18*Scenarios!$D$4</f>
        <v/>
      </c>
      <c r="G19">
        <f>Cohort!G18*Scenarios!$D$4</f>
        <v/>
      </c>
      <c r="H19">
        <f>C19*Scenarios!$D$5</f>
        <v/>
      </c>
      <c r="I19">
        <f>L18*(1-D19)+H19</f>
        <v/>
      </c>
      <c r="J19">
        <f>MIN(Inputs!$C$25,I19)</f>
        <v/>
      </c>
      <c r="K19">
        <f>IF(A19&lt;Inputs!$C$17,0,Inputs!$C$16*(I19-J19))</f>
        <v/>
      </c>
      <c r="L19">
        <f>I19-J19-K19</f>
        <v/>
      </c>
      <c r="M19">
        <f>K19*Inputs!$C$18</f>
        <v/>
      </c>
      <c r="N19">
        <f>Q18*(1-D19)+H19</f>
        <v/>
      </c>
      <c r="O19">
        <f>IF(A19&lt;Inputs!$C$17,MIN(Inputs!$C$25,N19),0)</f>
        <v/>
      </c>
      <c r="P19">
        <f>IF(A19&lt;Inputs!$C$17,0,MIN(Inputs!$C$25,N19)+Inputs!$C$16*(N19-MIN(Inputs!$C$25,N19)))</f>
        <v/>
      </c>
      <c r="Q19">
        <f>N19-O19-P19</f>
        <v/>
      </c>
      <c r="R19">
        <f>P19*Inputs!$C$18</f>
        <v/>
      </c>
      <c r="S19">
        <f>Cohort!H18</f>
        <v/>
      </c>
      <c r="T19">
        <f>B19/S19</f>
        <v/>
      </c>
    </row>
    <row r="20" hidden="1" outlineLevel="1">
      <c r="A20" t="n">
        <v>2017</v>
      </c>
      <c r="B20">
        <f>Cohort!B19*Scenarios!$D$4</f>
        <v/>
      </c>
      <c r="C20">
        <f>Cohort!C19*Scenarios!$D$4</f>
        <v/>
      </c>
      <c r="D20">
        <f>Cohort!D19</f>
        <v/>
      </c>
      <c r="E20">
        <f>Cohort!E19*Scenarios!$D$4</f>
        <v/>
      </c>
      <c r="F20">
        <f>Cohort!F19*Scenarios!$D$4</f>
        <v/>
      </c>
      <c r="G20">
        <f>Cohort!G19*Scenarios!$D$4</f>
        <v/>
      </c>
      <c r="H20">
        <f>C20*Scenarios!$D$5</f>
        <v/>
      </c>
      <c r="I20">
        <f>L19*(1-D20)+H20</f>
        <v/>
      </c>
      <c r="J20">
        <f>MIN(Inputs!$C$25,I20)</f>
        <v/>
      </c>
      <c r="K20">
        <f>IF(A20&lt;Inputs!$C$17,0,Inputs!$C$16*(I20-J20))</f>
        <v/>
      </c>
      <c r="L20">
        <f>I20-J20-K20</f>
        <v/>
      </c>
      <c r="M20">
        <f>K20*Inputs!$C$18</f>
        <v/>
      </c>
      <c r="N20">
        <f>Q19*(1-D20)+H20</f>
        <v/>
      </c>
      <c r="O20">
        <f>IF(A20&lt;Inputs!$C$17,MIN(Inputs!$C$25,N20),0)</f>
        <v/>
      </c>
      <c r="P20">
        <f>IF(A20&lt;Inputs!$C$17,0,MIN(Inputs!$C$25,N20)+Inputs!$C$16*(N20-MIN(Inputs!$C$25,N20)))</f>
        <v/>
      </c>
      <c r="Q20">
        <f>N20-O20-P20</f>
        <v/>
      </c>
      <c r="R20">
        <f>P20*Inputs!$C$18</f>
        <v/>
      </c>
      <c r="S20">
        <f>Cohort!H19</f>
        <v/>
      </c>
      <c r="T20">
        <f>B20/S20</f>
        <v/>
      </c>
    </row>
    <row r="21" hidden="1" outlineLevel="1">
      <c r="A21" t="n">
        <v>2018</v>
      </c>
      <c r="B21">
        <f>Cohort!B20*Scenarios!$D$4</f>
        <v/>
      </c>
      <c r="C21">
        <f>Cohort!C20*Scenarios!$D$4</f>
        <v/>
      </c>
      <c r="D21">
        <f>Cohort!D20</f>
        <v/>
      </c>
      <c r="E21">
        <f>Cohort!E20*Scenarios!$D$4</f>
        <v/>
      </c>
      <c r="F21">
        <f>Cohort!F20*Scenarios!$D$4</f>
        <v/>
      </c>
      <c r="G21">
        <f>Cohort!G20*Scenarios!$D$4</f>
        <v/>
      </c>
      <c r="H21">
        <f>C21*Scenarios!$D$5</f>
        <v/>
      </c>
      <c r="I21">
        <f>L20*(1-D21)+H21</f>
        <v/>
      </c>
      <c r="J21">
        <f>MIN(Inputs!$C$25,I21)</f>
        <v/>
      </c>
      <c r="K21">
        <f>IF(A21&lt;Inputs!$C$17,0,Inputs!$C$16*(I21-J21))</f>
        <v/>
      </c>
      <c r="L21">
        <f>I21-J21-K21</f>
        <v/>
      </c>
      <c r="M21">
        <f>K21*Inputs!$C$18</f>
        <v/>
      </c>
      <c r="N21">
        <f>Q20*(1-D21)+H21</f>
        <v/>
      </c>
      <c r="O21">
        <f>IF(A21&lt;Inputs!$C$17,MIN(Inputs!$C$25,N21),0)</f>
        <v/>
      </c>
      <c r="P21">
        <f>IF(A21&lt;Inputs!$C$17,0,MIN(Inputs!$C$25,N21)+Inputs!$C$16*(N21-MIN(Inputs!$C$25,N21)))</f>
        <v/>
      </c>
      <c r="Q21">
        <f>N21-O21-P21</f>
        <v/>
      </c>
      <c r="R21">
        <f>P21*Inputs!$C$18</f>
        <v/>
      </c>
      <c r="S21">
        <f>Cohort!H20</f>
        <v/>
      </c>
      <c r="T21">
        <f>B21/S21</f>
        <v/>
      </c>
    </row>
    <row r="22" hidden="1" outlineLevel="1">
      <c r="A22" t="n">
        <v>2019</v>
      </c>
      <c r="B22">
        <f>Cohort!B21*Scenarios!$D$4</f>
        <v/>
      </c>
      <c r="C22">
        <f>Cohort!C21*Scenarios!$D$4</f>
        <v/>
      </c>
      <c r="D22">
        <f>Cohort!D21</f>
        <v/>
      </c>
      <c r="E22">
        <f>Cohort!E21*Scenarios!$D$4</f>
        <v/>
      </c>
      <c r="F22">
        <f>Cohort!F21*Scenarios!$D$4</f>
        <v/>
      </c>
      <c r="G22">
        <f>Cohort!G21*Scenarios!$D$4</f>
        <v/>
      </c>
      <c r="H22">
        <f>C22*Scenarios!$D$5</f>
        <v/>
      </c>
      <c r="I22">
        <f>L21*(1-D22)+H22</f>
        <v/>
      </c>
      <c r="J22">
        <f>MIN(Inputs!$C$25,I22)</f>
        <v/>
      </c>
      <c r="K22">
        <f>IF(A22&lt;Inputs!$C$17,0,Inputs!$C$16*(I22-J22))</f>
        <v/>
      </c>
      <c r="L22">
        <f>I22-J22-K22</f>
        <v/>
      </c>
      <c r="M22">
        <f>K22*Inputs!$C$18</f>
        <v/>
      </c>
      <c r="N22">
        <f>Q21*(1-D22)+H22</f>
        <v/>
      </c>
      <c r="O22">
        <f>IF(A22&lt;Inputs!$C$17,MIN(Inputs!$C$25,N22),0)</f>
        <v/>
      </c>
      <c r="P22">
        <f>IF(A22&lt;Inputs!$C$17,0,MIN(Inputs!$C$25,N22)+Inputs!$C$16*(N22-MIN(Inputs!$C$25,N22)))</f>
        <v/>
      </c>
      <c r="Q22">
        <f>N22-O22-P22</f>
        <v/>
      </c>
      <c r="R22">
        <f>P22*Inputs!$C$18</f>
        <v/>
      </c>
      <c r="S22">
        <f>Cohort!H21</f>
        <v/>
      </c>
      <c r="T22">
        <f>B22/S22</f>
        <v/>
      </c>
    </row>
    <row r="23" hidden="1" outlineLevel="1">
      <c r="A23" t="n">
        <v>2020</v>
      </c>
      <c r="B23">
        <f>Cohort!B22*Scenarios!$D$4</f>
        <v/>
      </c>
      <c r="C23">
        <f>Cohort!C22*Scenarios!$D$4</f>
        <v/>
      </c>
      <c r="D23">
        <f>Cohort!D22</f>
        <v/>
      </c>
      <c r="E23">
        <f>Cohort!E22*Scenarios!$D$4</f>
        <v/>
      </c>
      <c r="F23">
        <f>Cohort!F22*Scenarios!$D$4</f>
        <v/>
      </c>
      <c r="G23">
        <f>Cohort!G22*Scenarios!$D$4</f>
        <v/>
      </c>
      <c r="H23">
        <f>C23*Scenarios!$D$5</f>
        <v/>
      </c>
      <c r="I23">
        <f>L22*(1-D23)+H23</f>
        <v/>
      </c>
      <c r="J23">
        <f>MIN(Inputs!$C$25,I23)</f>
        <v/>
      </c>
      <c r="K23">
        <f>IF(A23&lt;Inputs!$C$17,0,Inputs!$C$16*(I23-J23))</f>
        <v/>
      </c>
      <c r="L23">
        <f>I23-J23-K23</f>
        <v/>
      </c>
      <c r="M23">
        <f>K23*Inputs!$C$18</f>
        <v/>
      </c>
      <c r="N23">
        <f>Q22*(1-D23)+H23</f>
        <v/>
      </c>
      <c r="O23">
        <f>IF(A23&lt;Inputs!$C$17,MIN(Inputs!$C$25,N23),0)</f>
        <v/>
      </c>
      <c r="P23">
        <f>IF(A23&lt;Inputs!$C$17,0,MIN(Inputs!$C$25,N23)+Inputs!$C$16*(N23-MIN(Inputs!$C$25,N23)))</f>
        <v/>
      </c>
      <c r="Q23">
        <f>N23-O23-P23</f>
        <v/>
      </c>
      <c r="R23">
        <f>P23*Inputs!$C$18</f>
        <v/>
      </c>
      <c r="S23">
        <f>Cohort!H22</f>
        <v/>
      </c>
      <c r="T23">
        <f>B23/S23</f>
        <v/>
      </c>
    </row>
    <row r="24" hidden="1" outlineLevel="1">
      <c r="A24" t="n">
        <v>2021</v>
      </c>
      <c r="B24">
        <f>Cohort!B23*Scenarios!$D$4</f>
        <v/>
      </c>
      <c r="C24">
        <f>Cohort!C23*Scenarios!$D$4</f>
        <v/>
      </c>
      <c r="D24">
        <f>Cohort!D23</f>
        <v/>
      </c>
      <c r="E24">
        <f>Cohort!E23*Scenarios!$D$4</f>
        <v/>
      </c>
      <c r="F24">
        <f>Cohort!F23*Scenarios!$D$4</f>
        <v/>
      </c>
      <c r="G24">
        <f>Cohort!G23*Scenarios!$D$4</f>
        <v/>
      </c>
      <c r="H24">
        <f>C24*Scenarios!$D$5</f>
        <v/>
      </c>
      <c r="I24">
        <f>L23*(1-D24)+H24</f>
        <v/>
      </c>
      <c r="J24">
        <f>MIN(Inputs!$C$25,I24)</f>
        <v/>
      </c>
      <c r="K24">
        <f>IF(A24&lt;Inputs!$C$17,0,Inputs!$C$16*(I24-J24))</f>
        <v/>
      </c>
      <c r="L24">
        <f>I24-J24-K24</f>
        <v/>
      </c>
      <c r="M24">
        <f>K24*Inputs!$C$18</f>
        <v/>
      </c>
      <c r="N24">
        <f>Q23*(1-D24)+H24</f>
        <v/>
      </c>
      <c r="O24">
        <f>IF(A24&lt;Inputs!$C$17,MIN(Inputs!$C$25,N24),0)</f>
        <v/>
      </c>
      <c r="P24">
        <f>IF(A24&lt;Inputs!$C$17,0,MIN(Inputs!$C$25,N24)+Inputs!$C$16*(N24-MIN(Inputs!$C$25,N24)))</f>
        <v/>
      </c>
      <c r="Q24">
        <f>N24-O24-P24</f>
        <v/>
      </c>
      <c r="R24">
        <f>P24*Inputs!$C$18</f>
        <v/>
      </c>
      <c r="S24">
        <f>Cohort!H23</f>
        <v/>
      </c>
      <c r="T24">
        <f>B24/S24</f>
        <v/>
      </c>
    </row>
    <row r="25" hidden="1" outlineLevel="1">
      <c r="A25" t="n">
        <v>2022</v>
      </c>
      <c r="B25">
        <f>Cohort!B24*Scenarios!$D$4</f>
        <v/>
      </c>
      <c r="C25">
        <f>Cohort!C24*Scenarios!$D$4</f>
        <v/>
      </c>
      <c r="D25">
        <f>Cohort!D24</f>
        <v/>
      </c>
      <c r="E25">
        <f>Cohort!E24*Scenarios!$D$4</f>
        <v/>
      </c>
      <c r="F25">
        <f>Cohort!F24*Scenarios!$D$4</f>
        <v/>
      </c>
      <c r="G25">
        <f>Cohort!G24*Scenarios!$D$4</f>
        <v/>
      </c>
      <c r="H25">
        <f>C25*Scenarios!$D$5</f>
        <v/>
      </c>
      <c r="I25">
        <f>L24*(1-D25)+H25</f>
        <v/>
      </c>
      <c r="J25">
        <f>MIN(Inputs!$C$25,I25)</f>
        <v/>
      </c>
      <c r="K25">
        <f>IF(A25&lt;Inputs!$C$17,0,Inputs!$C$16*(I25-J25))</f>
        <v/>
      </c>
      <c r="L25">
        <f>I25-J25-K25</f>
        <v/>
      </c>
      <c r="M25">
        <f>K25*Inputs!$C$18</f>
        <v/>
      </c>
      <c r="N25">
        <f>Q24*(1-D25)+H25</f>
        <v/>
      </c>
      <c r="O25">
        <f>IF(A25&lt;Inputs!$C$17,MIN(Inputs!$C$25,N25),0)</f>
        <v/>
      </c>
      <c r="P25">
        <f>IF(A25&lt;Inputs!$C$17,0,MIN(Inputs!$C$25,N25)+Inputs!$C$16*(N25-MIN(Inputs!$C$25,N25)))</f>
        <v/>
      </c>
      <c r="Q25">
        <f>N25-O25-P25</f>
        <v/>
      </c>
      <c r="R25">
        <f>P25*Inputs!$C$18</f>
        <v/>
      </c>
      <c r="S25">
        <f>Cohort!H24</f>
        <v/>
      </c>
      <c r="T25">
        <f>B25/S25</f>
        <v/>
      </c>
    </row>
    <row r="26" hidden="1" outlineLevel="1">
      <c r="A26" t="n">
        <v>2023</v>
      </c>
      <c r="B26">
        <f>Cohort!B25*Scenarios!$D$4</f>
        <v/>
      </c>
      <c r="C26">
        <f>Cohort!C25*Scenarios!$D$4</f>
        <v/>
      </c>
      <c r="D26">
        <f>Cohort!D25</f>
        <v/>
      </c>
      <c r="E26">
        <f>Cohort!E25*Scenarios!$D$4</f>
        <v/>
      </c>
      <c r="F26">
        <f>Cohort!F25*Scenarios!$D$4</f>
        <v/>
      </c>
      <c r="G26">
        <f>Cohort!G25*Scenarios!$D$4</f>
        <v/>
      </c>
      <c r="H26">
        <f>C26*Scenarios!$D$5</f>
        <v/>
      </c>
      <c r="I26">
        <f>L25*(1-D26)+H26</f>
        <v/>
      </c>
      <c r="J26">
        <f>MIN(Inputs!$C$25,I26)</f>
        <v/>
      </c>
      <c r="K26">
        <f>IF(A26&lt;Inputs!$C$17,0,Inputs!$C$16*(I26-J26))</f>
        <v/>
      </c>
      <c r="L26">
        <f>I26-J26-K26</f>
        <v/>
      </c>
      <c r="M26">
        <f>K26*Inputs!$C$18</f>
        <v/>
      </c>
      <c r="N26">
        <f>Q25*(1-D26)+H26</f>
        <v/>
      </c>
      <c r="O26">
        <f>IF(A26&lt;Inputs!$C$17,MIN(Inputs!$C$25,N26),0)</f>
        <v/>
      </c>
      <c r="P26">
        <f>IF(A26&lt;Inputs!$C$17,0,MIN(Inputs!$C$25,N26)+Inputs!$C$16*(N26-MIN(Inputs!$C$25,N26)))</f>
        <v/>
      </c>
      <c r="Q26">
        <f>N26-O26-P26</f>
        <v/>
      </c>
      <c r="R26">
        <f>P26*Inputs!$C$18</f>
        <v/>
      </c>
      <c r="S26">
        <f>Cohort!H25</f>
        <v/>
      </c>
      <c r="T26">
        <f>B26/S26</f>
        <v/>
      </c>
    </row>
    <row r="27" hidden="1" outlineLevel="1">
      <c r="A27" t="n">
        <v>2024</v>
      </c>
      <c r="B27">
        <f>Cohort!B26*Scenarios!$D$4</f>
        <v/>
      </c>
      <c r="C27">
        <f>Cohort!C26*Scenarios!$D$4</f>
        <v/>
      </c>
      <c r="D27">
        <f>Cohort!D26</f>
        <v/>
      </c>
      <c r="E27">
        <f>Cohort!E26*Scenarios!$D$4</f>
        <v/>
      </c>
      <c r="F27">
        <f>Cohort!F26*Scenarios!$D$4</f>
        <v/>
      </c>
      <c r="G27">
        <f>Cohort!G26*Scenarios!$D$4</f>
        <v/>
      </c>
      <c r="H27">
        <f>C27*Scenarios!$D$5</f>
        <v/>
      </c>
      <c r="I27">
        <f>L26*(1-D27)+H27</f>
        <v/>
      </c>
      <c r="J27">
        <f>MIN(Inputs!$C$25,I27)</f>
        <v/>
      </c>
      <c r="K27">
        <f>IF(A27&lt;Inputs!$C$17,0,Inputs!$C$16*(I27-J27))</f>
        <v/>
      </c>
      <c r="L27">
        <f>I27-J27-K27</f>
        <v/>
      </c>
      <c r="M27">
        <f>K27*Inputs!$C$18</f>
        <v/>
      </c>
      <c r="N27">
        <f>Q26*(1-D27)+H27</f>
        <v/>
      </c>
      <c r="O27">
        <f>IF(A27&lt;Inputs!$C$17,MIN(Inputs!$C$25,N27),0)</f>
        <v/>
      </c>
      <c r="P27">
        <f>IF(A27&lt;Inputs!$C$17,0,MIN(Inputs!$C$25,N27)+Inputs!$C$16*(N27-MIN(Inputs!$C$25,N27)))</f>
        <v/>
      </c>
      <c r="Q27">
        <f>N27-O27-P27</f>
        <v/>
      </c>
      <c r="R27">
        <f>P27*Inputs!$C$18</f>
        <v/>
      </c>
      <c r="S27">
        <f>Cohort!H26</f>
        <v/>
      </c>
      <c r="T27">
        <f>B27/S27</f>
        <v/>
      </c>
    </row>
    <row r="28" hidden="1" outlineLevel="1">
      <c r="A28" t="n">
        <v>2025</v>
      </c>
      <c r="B28">
        <f>Cohort!B27*Scenarios!$D$4</f>
        <v/>
      </c>
      <c r="C28">
        <f>Cohort!C27*Scenarios!$D$4</f>
        <v/>
      </c>
      <c r="D28">
        <f>Cohort!D27</f>
        <v/>
      </c>
      <c r="E28">
        <f>Cohort!E27*Scenarios!$D$4</f>
        <v/>
      </c>
      <c r="F28">
        <f>Cohort!F27*Scenarios!$D$4</f>
        <v/>
      </c>
      <c r="G28">
        <f>Cohort!G27*Scenarios!$D$4</f>
        <v/>
      </c>
      <c r="H28">
        <f>C28*Scenarios!$D$5</f>
        <v/>
      </c>
      <c r="I28">
        <f>L27*(1-D28)+H28</f>
        <v/>
      </c>
      <c r="J28">
        <f>MIN(Inputs!$C$25,I28)</f>
        <v/>
      </c>
      <c r="K28">
        <f>IF(A28&lt;Inputs!$C$17,0,Inputs!$C$16*(I28-J28))</f>
        <v/>
      </c>
      <c r="L28">
        <f>I28-J28-K28</f>
        <v/>
      </c>
      <c r="M28">
        <f>K28*Inputs!$C$18</f>
        <v/>
      </c>
      <c r="N28">
        <f>Q27*(1-D28)+H28</f>
        <v/>
      </c>
      <c r="O28">
        <f>IF(A28&lt;Inputs!$C$17,MIN(Inputs!$C$25,N28),0)</f>
        <v/>
      </c>
      <c r="P28">
        <f>IF(A28&lt;Inputs!$C$17,0,MIN(Inputs!$C$25,N28)+Inputs!$C$16*(N28-MIN(Inputs!$C$25,N28)))</f>
        <v/>
      </c>
      <c r="Q28">
        <f>N28-O28-P28</f>
        <v/>
      </c>
      <c r="R28">
        <f>P28*Inputs!$C$18</f>
        <v/>
      </c>
      <c r="S28">
        <f>Cohort!H27</f>
        <v/>
      </c>
      <c r="T28">
        <f>B28/S28</f>
        <v/>
      </c>
    </row>
    <row r="29">
      <c r="A29" t="n">
        <v>2026</v>
      </c>
      <c r="B29">
        <f>Cohort!B28*Scenarios!$D$4</f>
        <v/>
      </c>
      <c r="C29">
        <f>Cohort!C28*Scenarios!$D$4</f>
        <v/>
      </c>
      <c r="D29">
        <f>Cohort!D28</f>
        <v/>
      </c>
      <c r="E29">
        <f>Cohort!E28*Scenarios!$D$4</f>
        <v/>
      </c>
      <c r="F29">
        <f>Cohort!F28*Scenarios!$D$4</f>
        <v/>
      </c>
      <c r="G29">
        <f>Cohort!G28*Scenarios!$D$4</f>
        <v/>
      </c>
      <c r="H29">
        <f>C29*Scenarios!$D$5</f>
        <v/>
      </c>
      <c r="I29">
        <f>L28*(1-D29)+H29</f>
        <v/>
      </c>
      <c r="J29">
        <f>MIN(Inputs!$C$25,I29)</f>
        <v/>
      </c>
      <c r="K29">
        <f>IF(A29&lt;Inputs!$C$17,0,Inputs!$C$16*(I29-J29))</f>
        <v/>
      </c>
      <c r="L29">
        <f>I29-J29-K29</f>
        <v/>
      </c>
      <c r="M29">
        <f>K29*Inputs!$C$18</f>
        <v/>
      </c>
      <c r="N29">
        <f>Q28*(1-D29)+H29</f>
        <v/>
      </c>
      <c r="O29">
        <f>IF(A29&lt;Inputs!$C$17,MIN(Inputs!$C$25,N29),0)</f>
        <v/>
      </c>
      <c r="P29">
        <f>IF(A29&lt;Inputs!$C$17,0,MIN(Inputs!$C$25,N29)+Inputs!$C$16*(N29-MIN(Inputs!$C$25,N29)))</f>
        <v/>
      </c>
      <c r="Q29">
        <f>N29-O29-P29</f>
        <v/>
      </c>
      <c r="R29">
        <f>P29*Inputs!$C$18</f>
        <v/>
      </c>
      <c r="S29">
        <f>Cohort!H28</f>
        <v/>
      </c>
      <c r="T29">
        <f>B29/S29</f>
        <v/>
      </c>
    </row>
    <row r="30">
      <c r="A30" t="n">
        <v>2027</v>
      </c>
      <c r="B30">
        <f>Cohort!B29*Scenarios!$D$4</f>
        <v/>
      </c>
      <c r="C30">
        <f>Cohort!C29*Scenarios!$D$4</f>
        <v/>
      </c>
      <c r="D30">
        <f>Cohort!D29</f>
        <v/>
      </c>
      <c r="E30">
        <f>Cohort!E29*Scenarios!$D$4</f>
        <v/>
      </c>
      <c r="F30">
        <f>Cohort!F29*Scenarios!$D$4</f>
        <v/>
      </c>
      <c r="G30">
        <f>Cohort!G29*Scenarios!$D$4</f>
        <v/>
      </c>
      <c r="H30">
        <f>C30*Scenarios!$D$5</f>
        <v/>
      </c>
      <c r="I30">
        <f>L29*(1-D30)+H30</f>
        <v/>
      </c>
      <c r="J30">
        <f>MIN(Inputs!$C$25,I30)</f>
        <v/>
      </c>
      <c r="K30">
        <f>IF(A30&lt;Inputs!$C$17,0,Inputs!$C$16*(I30-J30))</f>
        <v/>
      </c>
      <c r="L30">
        <f>I30-J30-K30</f>
        <v/>
      </c>
      <c r="M30">
        <f>K30*Inputs!$C$18</f>
        <v/>
      </c>
      <c r="N30">
        <f>Q29*(1-D30)+H30</f>
        <v/>
      </c>
      <c r="O30">
        <f>IF(A30&lt;Inputs!$C$17,MIN(Inputs!$C$25,N30),0)</f>
        <v/>
      </c>
      <c r="P30">
        <f>IF(A30&lt;Inputs!$C$17,0,MIN(Inputs!$C$25,N30)+Inputs!$C$16*(N30-MIN(Inputs!$C$25,N30)))</f>
        <v/>
      </c>
      <c r="Q30">
        <f>N30-O30-P30</f>
        <v/>
      </c>
      <c r="R30">
        <f>P30*Inputs!$C$18</f>
        <v/>
      </c>
      <c r="S30">
        <f>Cohort!H29</f>
        <v/>
      </c>
      <c r="T30">
        <f>B30/S30</f>
        <v/>
      </c>
    </row>
    <row r="31">
      <c r="A31" t="n">
        <v>2028</v>
      </c>
      <c r="B31">
        <f>Cohort!B30*Scenarios!$D$4</f>
        <v/>
      </c>
      <c r="C31">
        <f>Cohort!C30*Scenarios!$D$4</f>
        <v/>
      </c>
      <c r="D31">
        <f>Cohort!D30</f>
        <v/>
      </c>
      <c r="E31">
        <f>Cohort!E30*Scenarios!$D$4</f>
        <v/>
      </c>
      <c r="F31">
        <f>Cohort!F30*Scenarios!$D$4</f>
        <v/>
      </c>
      <c r="G31">
        <f>Cohort!G30*Scenarios!$D$4</f>
        <v/>
      </c>
      <c r="H31">
        <f>C31*Scenarios!$D$5</f>
        <v/>
      </c>
      <c r="I31">
        <f>L30*(1-D31)+H31</f>
        <v/>
      </c>
      <c r="J31">
        <f>MIN(Inputs!$C$25,I31)</f>
        <v/>
      </c>
      <c r="K31">
        <f>IF(A31&lt;Inputs!$C$17,0,Inputs!$C$16*(I31-J31))</f>
        <v/>
      </c>
      <c r="L31">
        <f>I31-J31-K31</f>
        <v/>
      </c>
      <c r="M31">
        <f>K31*Inputs!$C$18</f>
        <v/>
      </c>
      <c r="N31">
        <f>Q30*(1-D31)+H31</f>
        <v/>
      </c>
      <c r="O31">
        <f>IF(A31&lt;Inputs!$C$17,MIN(Inputs!$C$25,N31),0)</f>
        <v/>
      </c>
      <c r="P31">
        <f>IF(A31&lt;Inputs!$C$17,0,MIN(Inputs!$C$25,N31)+Inputs!$C$16*(N31-MIN(Inputs!$C$25,N31)))</f>
        <v/>
      </c>
      <c r="Q31">
        <f>N31-O31-P31</f>
        <v/>
      </c>
      <c r="R31">
        <f>P31*Inputs!$C$18</f>
        <v/>
      </c>
      <c r="S31">
        <f>Cohort!H30</f>
        <v/>
      </c>
      <c r="T31">
        <f>B31/S31</f>
        <v/>
      </c>
    </row>
    <row r="32">
      <c r="A32" t="n">
        <v>2029</v>
      </c>
      <c r="B32">
        <f>Cohort!B31*Scenarios!$D$4</f>
        <v/>
      </c>
      <c r="C32">
        <f>Cohort!C31*Scenarios!$D$4</f>
        <v/>
      </c>
      <c r="D32">
        <f>Cohort!D31</f>
        <v/>
      </c>
      <c r="E32">
        <f>Cohort!E31*Scenarios!$D$4</f>
        <v/>
      </c>
      <c r="F32">
        <f>Cohort!F31*Scenarios!$D$4</f>
        <v/>
      </c>
      <c r="G32">
        <f>Cohort!G31*Scenarios!$D$4</f>
        <v/>
      </c>
      <c r="H32">
        <f>C32*Scenarios!$D$5</f>
        <v/>
      </c>
      <c r="I32">
        <f>L31*(1-D32)+H32</f>
        <v/>
      </c>
      <c r="J32">
        <f>MIN(Inputs!$C$25,I32)</f>
        <v/>
      </c>
      <c r="K32">
        <f>IF(A32&lt;Inputs!$C$17,0,Inputs!$C$16*(I32-J32))</f>
        <v/>
      </c>
      <c r="L32">
        <f>I32-J32-K32</f>
        <v/>
      </c>
      <c r="M32">
        <f>K32*Inputs!$C$18</f>
        <v/>
      </c>
      <c r="N32">
        <f>Q31*(1-D32)+H32</f>
        <v/>
      </c>
      <c r="O32">
        <f>IF(A32&lt;Inputs!$C$17,MIN(Inputs!$C$25,N32),0)</f>
        <v/>
      </c>
      <c r="P32">
        <f>IF(A32&lt;Inputs!$C$17,0,MIN(Inputs!$C$25,N32)+Inputs!$C$16*(N32-MIN(Inputs!$C$25,N32)))</f>
        <v/>
      </c>
      <c r="Q32">
        <f>N32-O32-P32</f>
        <v/>
      </c>
      <c r="R32">
        <f>P32*Inputs!$C$18</f>
        <v/>
      </c>
      <c r="S32">
        <f>Cohort!H31</f>
        <v/>
      </c>
      <c r="T32">
        <f>B32/S32</f>
        <v/>
      </c>
    </row>
    <row r="33">
      <c r="A33" t="n">
        <v>2030</v>
      </c>
      <c r="B33">
        <f>Cohort!B32*Scenarios!$D$4</f>
        <v/>
      </c>
      <c r="C33">
        <f>Cohort!C32*Scenarios!$D$4</f>
        <v/>
      </c>
      <c r="D33">
        <f>Cohort!D32</f>
        <v/>
      </c>
      <c r="E33">
        <f>Cohort!E32*Scenarios!$D$4</f>
        <v/>
      </c>
      <c r="F33">
        <f>Cohort!F32*Scenarios!$D$4</f>
        <v/>
      </c>
      <c r="G33">
        <f>Cohort!G32*Scenarios!$D$4</f>
        <v/>
      </c>
      <c r="H33">
        <f>C33*Scenarios!$D$5</f>
        <v/>
      </c>
      <c r="I33">
        <f>L32*(1-D33)+H33</f>
        <v/>
      </c>
      <c r="J33">
        <f>MIN(Inputs!$C$25,I33)</f>
        <v/>
      </c>
      <c r="K33">
        <f>IF(A33&lt;Inputs!$C$17,0,Inputs!$C$16*(I33-J33))</f>
        <v/>
      </c>
      <c r="L33">
        <f>I33-J33-K33</f>
        <v/>
      </c>
      <c r="M33">
        <f>K33*Inputs!$C$18</f>
        <v/>
      </c>
      <c r="N33">
        <f>Q32*(1-D33)+H33</f>
        <v/>
      </c>
      <c r="O33">
        <f>IF(A33&lt;Inputs!$C$17,MIN(Inputs!$C$25,N33),0)</f>
        <v/>
      </c>
      <c r="P33">
        <f>IF(A33&lt;Inputs!$C$17,0,MIN(Inputs!$C$25,N33)+Inputs!$C$16*(N33-MIN(Inputs!$C$25,N33)))</f>
        <v/>
      </c>
      <c r="Q33">
        <f>N33-O33-P33</f>
        <v/>
      </c>
      <c r="R33">
        <f>P33*Inputs!$C$18</f>
        <v/>
      </c>
      <c r="S33">
        <f>Cohort!H32</f>
        <v/>
      </c>
      <c r="T33">
        <f>B33/S33</f>
        <v/>
      </c>
    </row>
    <row r="34">
      <c r="A34" t="n">
        <v>2031</v>
      </c>
      <c r="B34">
        <f>Cohort!B33*Scenarios!$D$4</f>
        <v/>
      </c>
      <c r="C34">
        <f>Cohort!C33*Scenarios!$D$4</f>
        <v/>
      </c>
      <c r="D34">
        <f>Cohort!D33</f>
        <v/>
      </c>
      <c r="E34">
        <f>Cohort!E33*Scenarios!$D$4</f>
        <v/>
      </c>
      <c r="F34">
        <f>Cohort!F33*Scenarios!$D$4</f>
        <v/>
      </c>
      <c r="G34">
        <f>Cohort!G33*Scenarios!$D$4</f>
        <v/>
      </c>
      <c r="H34">
        <f>C34*Scenarios!$D$5</f>
        <v/>
      </c>
      <c r="I34">
        <f>L33*(1-D34)+H34</f>
        <v/>
      </c>
      <c r="J34">
        <f>MIN(Inputs!$C$25,I34)</f>
        <v/>
      </c>
      <c r="K34">
        <f>IF(A34&lt;Inputs!$C$17,0,Inputs!$C$16*(I34-J34))</f>
        <v/>
      </c>
      <c r="L34">
        <f>I34-J34-K34</f>
        <v/>
      </c>
      <c r="M34">
        <f>K34*Inputs!$C$18</f>
        <v/>
      </c>
      <c r="N34">
        <f>Q33*(1-D34)+H34</f>
        <v/>
      </c>
      <c r="O34">
        <f>IF(A34&lt;Inputs!$C$17,MIN(Inputs!$C$25,N34),0)</f>
        <v/>
      </c>
      <c r="P34">
        <f>IF(A34&lt;Inputs!$C$17,0,MIN(Inputs!$C$25,N34)+Inputs!$C$16*(N34-MIN(Inputs!$C$25,N34)))</f>
        <v/>
      </c>
      <c r="Q34">
        <f>N34-O34-P34</f>
        <v/>
      </c>
      <c r="R34">
        <f>P34*Inputs!$C$18</f>
        <v/>
      </c>
      <c r="S34">
        <f>Cohort!H33</f>
        <v/>
      </c>
      <c r="T34">
        <f>B34/S34</f>
        <v/>
      </c>
    </row>
    <row r="35">
      <c r="A35" t="n">
        <v>2032</v>
      </c>
      <c r="B35">
        <f>Cohort!B34*Scenarios!$D$4</f>
        <v/>
      </c>
      <c r="C35">
        <f>Cohort!C34*Scenarios!$D$4</f>
        <v/>
      </c>
      <c r="D35">
        <f>Cohort!D34</f>
        <v/>
      </c>
      <c r="E35">
        <f>Cohort!E34*Scenarios!$D$4</f>
        <v/>
      </c>
      <c r="F35">
        <f>Cohort!F34*Scenarios!$D$4</f>
        <v/>
      </c>
      <c r="G35">
        <f>Cohort!G34*Scenarios!$D$4</f>
        <v/>
      </c>
      <c r="H35">
        <f>C35*Scenarios!$D$5</f>
        <v/>
      </c>
      <c r="I35">
        <f>L34*(1-D35)+H35</f>
        <v/>
      </c>
      <c r="J35">
        <f>MIN(Inputs!$C$25,I35)</f>
        <v/>
      </c>
      <c r="K35">
        <f>IF(A35&lt;Inputs!$C$17,0,Inputs!$C$16*(I35-J35))</f>
        <v/>
      </c>
      <c r="L35">
        <f>I35-J35-K35</f>
        <v/>
      </c>
      <c r="M35">
        <f>K35*Inputs!$C$18</f>
        <v/>
      </c>
      <c r="N35">
        <f>Q34*(1-D35)+H35</f>
        <v/>
      </c>
      <c r="O35">
        <f>IF(A35&lt;Inputs!$C$17,MIN(Inputs!$C$25,N35),0)</f>
        <v/>
      </c>
      <c r="P35">
        <f>IF(A35&lt;Inputs!$C$17,0,MIN(Inputs!$C$25,N35)+Inputs!$C$16*(N35-MIN(Inputs!$C$25,N35)))</f>
        <v/>
      </c>
      <c r="Q35">
        <f>N35-O35-P35</f>
        <v/>
      </c>
      <c r="R35">
        <f>P35*Inputs!$C$18</f>
        <v/>
      </c>
      <c r="S35">
        <f>Cohort!H34</f>
        <v/>
      </c>
      <c r="T35">
        <f>B35/S35</f>
        <v/>
      </c>
    </row>
    <row r="36">
      <c r="A36" t="n">
        <v>2033</v>
      </c>
      <c r="B36">
        <f>Cohort!B35*Scenarios!$D$4</f>
        <v/>
      </c>
      <c r="C36">
        <f>Cohort!C35*Scenarios!$D$4</f>
        <v/>
      </c>
      <c r="D36">
        <f>Cohort!D35</f>
        <v/>
      </c>
      <c r="E36">
        <f>Cohort!E35*Scenarios!$D$4</f>
        <v/>
      </c>
      <c r="F36">
        <f>Cohort!F35*Scenarios!$D$4</f>
        <v/>
      </c>
      <c r="G36">
        <f>Cohort!G35*Scenarios!$D$4</f>
        <v/>
      </c>
      <c r="H36">
        <f>C36*Scenarios!$D$5</f>
        <v/>
      </c>
      <c r="I36">
        <f>L35*(1-D36)+H36</f>
        <v/>
      </c>
      <c r="J36">
        <f>MIN(Inputs!$C$25,I36)</f>
        <v/>
      </c>
      <c r="K36">
        <f>IF(A36&lt;Inputs!$C$17,0,Inputs!$C$16*(I36-J36))</f>
        <v/>
      </c>
      <c r="L36">
        <f>I36-J36-K36</f>
        <v/>
      </c>
      <c r="M36">
        <f>K36*Inputs!$C$18</f>
        <v/>
      </c>
      <c r="N36">
        <f>Q35*(1-D36)+H36</f>
        <v/>
      </c>
      <c r="O36">
        <f>IF(A36&lt;Inputs!$C$17,MIN(Inputs!$C$25,N36),0)</f>
        <v/>
      </c>
      <c r="P36">
        <f>IF(A36&lt;Inputs!$C$17,0,MIN(Inputs!$C$25,N36)+Inputs!$C$16*(N36-MIN(Inputs!$C$25,N36)))</f>
        <v/>
      </c>
      <c r="Q36">
        <f>N36-O36-P36</f>
        <v/>
      </c>
      <c r="R36">
        <f>P36*Inputs!$C$18</f>
        <v/>
      </c>
      <c r="S36">
        <f>Cohort!H35</f>
        <v/>
      </c>
      <c r="T36">
        <f>B36/S36</f>
        <v/>
      </c>
    </row>
    <row r="37">
      <c r="A37" t="n">
        <v>2034</v>
      </c>
      <c r="B37">
        <f>Cohort!B36*Scenarios!$D$4</f>
        <v/>
      </c>
      <c r="C37">
        <f>Cohort!C36*Scenarios!$D$4</f>
        <v/>
      </c>
      <c r="D37">
        <f>Cohort!D36</f>
        <v/>
      </c>
      <c r="E37">
        <f>Cohort!E36*Scenarios!$D$4</f>
        <v/>
      </c>
      <c r="F37">
        <f>Cohort!F36*Scenarios!$D$4</f>
        <v/>
      </c>
      <c r="G37">
        <f>Cohort!G36*Scenarios!$D$4</f>
        <v/>
      </c>
      <c r="H37">
        <f>C37*Scenarios!$D$5</f>
        <v/>
      </c>
      <c r="I37">
        <f>L36*(1-D37)+H37</f>
        <v/>
      </c>
      <c r="J37">
        <f>MIN(Inputs!$C$25,I37)</f>
        <v/>
      </c>
      <c r="K37">
        <f>IF(A37&lt;Inputs!$C$17,0,Inputs!$C$16*(I37-J37))</f>
        <v/>
      </c>
      <c r="L37">
        <f>I37-J37-K37</f>
        <v/>
      </c>
      <c r="M37">
        <f>K37*Inputs!$C$18</f>
        <v/>
      </c>
      <c r="N37">
        <f>Q36*(1-D37)+H37</f>
        <v/>
      </c>
      <c r="O37">
        <f>IF(A37&lt;Inputs!$C$17,MIN(Inputs!$C$25,N37),0)</f>
        <v/>
      </c>
      <c r="P37">
        <f>IF(A37&lt;Inputs!$C$17,0,MIN(Inputs!$C$25,N37)+Inputs!$C$16*(N37-MIN(Inputs!$C$25,N37)))</f>
        <v/>
      </c>
      <c r="Q37">
        <f>N37-O37-P37</f>
        <v/>
      </c>
      <c r="R37">
        <f>P37*Inputs!$C$18</f>
        <v/>
      </c>
      <c r="S37">
        <f>Cohort!H36</f>
        <v/>
      </c>
      <c r="T37">
        <f>B37/S37</f>
        <v/>
      </c>
    </row>
    <row r="38">
      <c r="A38" t="n">
        <v>2035</v>
      </c>
      <c r="B38">
        <f>Cohort!B37*Scenarios!$D$4</f>
        <v/>
      </c>
      <c r="C38">
        <f>Cohort!C37*Scenarios!$D$4</f>
        <v/>
      </c>
      <c r="D38">
        <f>Cohort!D37</f>
        <v/>
      </c>
      <c r="E38">
        <f>Cohort!E37*Scenarios!$D$4</f>
        <v/>
      </c>
      <c r="F38">
        <f>Cohort!F37*Scenarios!$D$4</f>
        <v/>
      </c>
      <c r="G38">
        <f>Cohort!G37*Scenarios!$D$4</f>
        <v/>
      </c>
      <c r="H38">
        <f>C38*Scenarios!$D$5</f>
        <v/>
      </c>
      <c r="I38">
        <f>L37*(1-D38)+H38</f>
        <v/>
      </c>
      <c r="J38">
        <f>MIN(Inputs!$C$25,I38)</f>
        <v/>
      </c>
      <c r="K38">
        <f>IF(A38&lt;Inputs!$C$17,0,Inputs!$C$16*(I38-J38))</f>
        <v/>
      </c>
      <c r="L38">
        <f>I38-J38-K38</f>
        <v/>
      </c>
      <c r="M38">
        <f>K38*Inputs!$C$18</f>
        <v/>
      </c>
      <c r="N38">
        <f>Q37*(1-D38)+H38</f>
        <v/>
      </c>
      <c r="O38">
        <f>IF(A38&lt;Inputs!$C$17,MIN(Inputs!$C$25,N38),0)</f>
        <v/>
      </c>
      <c r="P38">
        <f>IF(A38&lt;Inputs!$C$17,0,MIN(Inputs!$C$25,N38)+Inputs!$C$16*(N38-MIN(Inputs!$C$25,N38)))</f>
        <v/>
      </c>
      <c r="Q38">
        <f>N38-O38-P38</f>
        <v/>
      </c>
      <c r="R38">
        <f>P38*Inputs!$C$18</f>
        <v/>
      </c>
      <c r="S38">
        <f>Cohort!H37</f>
        <v/>
      </c>
      <c r="T38">
        <f>B38/S38</f>
        <v/>
      </c>
    </row>
    <row r="39">
      <c r="A39" t="n">
        <v>2036</v>
      </c>
      <c r="B39">
        <f>Cohort!B38*Scenarios!$D$4</f>
        <v/>
      </c>
      <c r="C39">
        <f>Cohort!C38*Scenarios!$D$4</f>
        <v/>
      </c>
      <c r="D39">
        <f>Cohort!D38</f>
        <v/>
      </c>
      <c r="E39">
        <f>Cohort!E38*Scenarios!$D$4</f>
        <v/>
      </c>
      <c r="F39">
        <f>Cohort!F38*Scenarios!$D$4</f>
        <v/>
      </c>
      <c r="G39">
        <f>Cohort!G38*Scenarios!$D$4</f>
        <v/>
      </c>
      <c r="H39">
        <f>C39*Scenarios!$D$5</f>
        <v/>
      </c>
      <c r="I39">
        <f>L38*(1-D39)+H39</f>
        <v/>
      </c>
      <c r="J39">
        <f>MIN(Inputs!$C$25,I39)</f>
        <v/>
      </c>
      <c r="K39">
        <f>IF(A39&lt;Inputs!$C$17,0,Inputs!$C$16*(I39-J39))</f>
        <v/>
      </c>
      <c r="L39">
        <f>I39-J39-K39</f>
        <v/>
      </c>
      <c r="M39">
        <f>K39*Inputs!$C$18</f>
        <v/>
      </c>
      <c r="N39">
        <f>Q38*(1-D39)+H39</f>
        <v/>
      </c>
      <c r="O39">
        <f>IF(A39&lt;Inputs!$C$17,MIN(Inputs!$C$25,N39),0)</f>
        <v/>
      </c>
      <c r="P39">
        <f>IF(A39&lt;Inputs!$C$17,0,MIN(Inputs!$C$25,N39)+Inputs!$C$16*(N39-MIN(Inputs!$C$25,N39)))</f>
        <v/>
      </c>
      <c r="Q39">
        <f>N39-O39-P39</f>
        <v/>
      </c>
      <c r="R39">
        <f>P39*Inputs!$C$18</f>
        <v/>
      </c>
      <c r="S39">
        <f>Cohort!H38</f>
        <v/>
      </c>
      <c r="T39">
        <f>B39/S39</f>
        <v/>
      </c>
    </row>
    <row r="40">
      <c r="A40" t="n">
        <v>2037</v>
      </c>
      <c r="B40">
        <f>Cohort!B39*Scenarios!$D$4</f>
        <v/>
      </c>
      <c r="C40">
        <f>Cohort!C39*Scenarios!$D$4</f>
        <v/>
      </c>
      <c r="D40">
        <f>Cohort!D39</f>
        <v/>
      </c>
      <c r="E40">
        <f>Cohort!E39*Scenarios!$D$4</f>
        <v/>
      </c>
      <c r="F40">
        <f>Cohort!F39*Scenarios!$D$4</f>
        <v/>
      </c>
      <c r="G40">
        <f>Cohort!G39*Scenarios!$D$4</f>
        <v/>
      </c>
      <c r="H40">
        <f>C40*Scenarios!$D$5</f>
        <v/>
      </c>
      <c r="I40">
        <f>L39*(1-D40)+H40</f>
        <v/>
      </c>
      <c r="J40">
        <f>MIN(Inputs!$C$25,I40)</f>
        <v/>
      </c>
      <c r="K40">
        <f>IF(A40&lt;Inputs!$C$17,0,Inputs!$C$16*(I40-J40))</f>
        <v/>
      </c>
      <c r="L40">
        <f>I40-J40-K40</f>
        <v/>
      </c>
      <c r="M40">
        <f>K40*Inputs!$C$18</f>
        <v/>
      </c>
      <c r="N40">
        <f>Q39*(1-D40)+H40</f>
        <v/>
      </c>
      <c r="O40">
        <f>IF(A40&lt;Inputs!$C$17,MIN(Inputs!$C$25,N40),0)</f>
        <v/>
      </c>
      <c r="P40">
        <f>IF(A40&lt;Inputs!$C$17,0,MIN(Inputs!$C$25,N40)+Inputs!$C$16*(N40-MIN(Inputs!$C$25,N40)))</f>
        <v/>
      </c>
      <c r="Q40">
        <f>N40-O40-P40</f>
        <v/>
      </c>
      <c r="R40">
        <f>P40*Inputs!$C$18</f>
        <v/>
      </c>
      <c r="S40">
        <f>Cohort!H39</f>
        <v/>
      </c>
      <c r="T40">
        <f>B40/S40</f>
        <v/>
      </c>
    </row>
    <row r="41">
      <c r="A41" t="n">
        <v>2038</v>
      </c>
      <c r="B41">
        <f>Cohort!B40*Scenarios!$D$4</f>
        <v/>
      </c>
      <c r="C41">
        <f>Cohort!C40*Scenarios!$D$4</f>
        <v/>
      </c>
      <c r="D41">
        <f>Cohort!D40</f>
        <v/>
      </c>
      <c r="E41">
        <f>Cohort!E40*Scenarios!$D$4</f>
        <v/>
      </c>
      <c r="F41">
        <f>Cohort!F40*Scenarios!$D$4</f>
        <v/>
      </c>
      <c r="G41">
        <f>Cohort!G40*Scenarios!$D$4</f>
        <v/>
      </c>
      <c r="H41">
        <f>C41*Scenarios!$D$5</f>
        <v/>
      </c>
      <c r="I41">
        <f>L40*(1-D41)+H41</f>
        <v/>
      </c>
      <c r="J41">
        <f>MIN(Inputs!$C$25,I41)</f>
        <v/>
      </c>
      <c r="K41">
        <f>IF(A41&lt;Inputs!$C$17,0,Inputs!$C$16*(I41-J41))</f>
        <v/>
      </c>
      <c r="L41">
        <f>I41-J41-K41</f>
        <v/>
      </c>
      <c r="M41">
        <f>K41*Inputs!$C$18</f>
        <v/>
      </c>
      <c r="N41">
        <f>Q40*(1-D41)+H41</f>
        <v/>
      </c>
      <c r="O41">
        <f>IF(A41&lt;Inputs!$C$17,MIN(Inputs!$C$25,N41),0)</f>
        <v/>
      </c>
      <c r="P41">
        <f>IF(A41&lt;Inputs!$C$17,0,MIN(Inputs!$C$25,N41)+Inputs!$C$16*(N41-MIN(Inputs!$C$25,N41)))</f>
        <v/>
      </c>
      <c r="Q41">
        <f>N41-O41-P41</f>
        <v/>
      </c>
      <c r="R41">
        <f>P41*Inputs!$C$18</f>
        <v/>
      </c>
      <c r="S41">
        <f>Cohort!H40</f>
        <v/>
      </c>
      <c r="T41">
        <f>B41/S41</f>
        <v/>
      </c>
    </row>
    <row r="42">
      <c r="A42" t="n">
        <v>2039</v>
      </c>
      <c r="B42">
        <f>Cohort!B41*Scenarios!$D$4</f>
        <v/>
      </c>
      <c r="C42">
        <f>Cohort!C41*Scenarios!$D$4</f>
        <v/>
      </c>
      <c r="D42">
        <f>Cohort!D41</f>
        <v/>
      </c>
      <c r="E42">
        <f>Cohort!E41*Scenarios!$D$4</f>
        <v/>
      </c>
      <c r="F42">
        <f>Cohort!F41*Scenarios!$D$4</f>
        <v/>
      </c>
      <c r="G42">
        <f>Cohort!G41*Scenarios!$D$4</f>
        <v/>
      </c>
      <c r="H42">
        <f>C42*Scenarios!$D$5</f>
        <v/>
      </c>
      <c r="I42">
        <f>L41*(1-D42)+H42</f>
        <v/>
      </c>
      <c r="J42">
        <f>MIN(Inputs!$C$25,I42)</f>
        <v/>
      </c>
      <c r="K42">
        <f>IF(A42&lt;Inputs!$C$17,0,Inputs!$C$16*(I42-J42))</f>
        <v/>
      </c>
      <c r="L42">
        <f>I42-J42-K42</f>
        <v/>
      </c>
      <c r="M42">
        <f>K42*Inputs!$C$18</f>
        <v/>
      </c>
      <c r="N42">
        <f>Q41*(1-D42)+H42</f>
        <v/>
      </c>
      <c r="O42">
        <f>IF(A42&lt;Inputs!$C$17,MIN(Inputs!$C$25,N42),0)</f>
        <v/>
      </c>
      <c r="P42">
        <f>IF(A42&lt;Inputs!$C$17,0,MIN(Inputs!$C$25,N42)+Inputs!$C$16*(N42-MIN(Inputs!$C$25,N42)))</f>
        <v/>
      </c>
      <c r="Q42">
        <f>N42-O42-P42</f>
        <v/>
      </c>
      <c r="R42">
        <f>P42*Inputs!$C$18</f>
        <v/>
      </c>
      <c r="S42">
        <f>Cohort!H41</f>
        <v/>
      </c>
      <c r="T42">
        <f>B42/S42</f>
        <v/>
      </c>
    </row>
    <row r="43">
      <c r="A43" t="n">
        <v>2040</v>
      </c>
      <c r="B43">
        <f>Cohort!B42*Scenarios!$D$4</f>
        <v/>
      </c>
      <c r="C43">
        <f>Cohort!C42*Scenarios!$D$4</f>
        <v/>
      </c>
      <c r="D43">
        <f>Cohort!D42</f>
        <v/>
      </c>
      <c r="E43">
        <f>Cohort!E42*Scenarios!$D$4</f>
        <v/>
      </c>
      <c r="F43">
        <f>Cohort!F42*Scenarios!$D$4</f>
        <v/>
      </c>
      <c r="G43">
        <f>Cohort!G42*Scenarios!$D$4</f>
        <v/>
      </c>
      <c r="H43">
        <f>C43*Scenarios!$D$5</f>
        <v/>
      </c>
      <c r="I43">
        <f>L42*(1-D43)+H43</f>
        <v/>
      </c>
      <c r="J43">
        <f>MIN(Inputs!$C$25,I43)</f>
        <v/>
      </c>
      <c r="K43">
        <f>IF(A43&lt;Inputs!$C$17,0,Inputs!$C$16*(I43-J43))</f>
        <v/>
      </c>
      <c r="L43">
        <f>I43-J43-K43</f>
        <v/>
      </c>
      <c r="M43">
        <f>K43*Inputs!$C$18</f>
        <v/>
      </c>
      <c r="N43">
        <f>Q42*(1-D43)+H43</f>
        <v/>
      </c>
      <c r="O43">
        <f>IF(A43&lt;Inputs!$C$17,MIN(Inputs!$C$25,N43),0)</f>
        <v/>
      </c>
      <c r="P43">
        <f>IF(A43&lt;Inputs!$C$17,0,MIN(Inputs!$C$25,N43)+Inputs!$C$16*(N43-MIN(Inputs!$C$25,N43)))</f>
        <v/>
      </c>
      <c r="Q43">
        <f>N43-O43-P43</f>
        <v/>
      </c>
      <c r="R43">
        <f>P43*Inputs!$C$18</f>
        <v/>
      </c>
      <c r="S43">
        <f>Cohort!H42</f>
        <v/>
      </c>
      <c r="T43">
        <f>B43/S43</f>
        <v/>
      </c>
    </row>
    <row r="44">
      <c r="A44" t="n">
        <v>2041</v>
      </c>
      <c r="B44">
        <f>Cohort!B43*Scenarios!$D$4</f>
        <v/>
      </c>
      <c r="C44">
        <f>Cohort!C43*Scenarios!$D$4</f>
        <v/>
      </c>
      <c r="D44">
        <f>Cohort!D43</f>
        <v/>
      </c>
      <c r="E44">
        <f>Cohort!E43*Scenarios!$D$4</f>
        <v/>
      </c>
      <c r="F44">
        <f>Cohort!F43*Scenarios!$D$4</f>
        <v/>
      </c>
      <c r="G44">
        <f>Cohort!G43*Scenarios!$D$4</f>
        <v/>
      </c>
      <c r="H44">
        <f>C44*Scenarios!$D$5</f>
        <v/>
      </c>
      <c r="I44">
        <f>L43*(1-D44)+H44</f>
        <v/>
      </c>
      <c r="J44">
        <f>MIN(Inputs!$C$25,I44)</f>
        <v/>
      </c>
      <c r="K44">
        <f>IF(A44&lt;Inputs!$C$17,0,Inputs!$C$16*(I44-J44))</f>
        <v/>
      </c>
      <c r="L44">
        <f>I44-J44-K44</f>
        <v/>
      </c>
      <c r="M44">
        <f>K44*Inputs!$C$18</f>
        <v/>
      </c>
      <c r="N44">
        <f>Q43*(1-D44)+H44</f>
        <v/>
      </c>
      <c r="O44">
        <f>IF(A44&lt;Inputs!$C$17,MIN(Inputs!$C$25,N44),0)</f>
        <v/>
      </c>
      <c r="P44">
        <f>IF(A44&lt;Inputs!$C$17,0,MIN(Inputs!$C$25,N44)+Inputs!$C$16*(N44-MIN(Inputs!$C$25,N44)))</f>
        <v/>
      </c>
      <c r="Q44">
        <f>N44-O44-P44</f>
        <v/>
      </c>
      <c r="R44">
        <f>P44*Inputs!$C$18</f>
        <v/>
      </c>
      <c r="S44">
        <f>Cohort!H43</f>
        <v/>
      </c>
      <c r="T44">
        <f>B44/S44</f>
        <v/>
      </c>
    </row>
    <row r="45">
      <c r="A45" t="n">
        <v>2042</v>
      </c>
      <c r="B45">
        <f>Cohort!B44*Scenarios!$D$4</f>
        <v/>
      </c>
      <c r="C45">
        <f>Cohort!C44*Scenarios!$D$4</f>
        <v/>
      </c>
      <c r="D45">
        <f>Cohort!D44</f>
        <v/>
      </c>
      <c r="E45">
        <f>Cohort!E44*Scenarios!$D$4</f>
        <v/>
      </c>
      <c r="F45">
        <f>Cohort!F44*Scenarios!$D$4</f>
        <v/>
      </c>
      <c r="G45">
        <f>Cohort!G44*Scenarios!$D$4</f>
        <v/>
      </c>
      <c r="H45">
        <f>C45*Scenarios!$D$5</f>
        <v/>
      </c>
      <c r="I45">
        <f>L44*(1-D45)+H45</f>
        <v/>
      </c>
      <c r="J45">
        <f>MIN(Inputs!$C$25,I45)</f>
        <v/>
      </c>
      <c r="K45">
        <f>IF(A45&lt;Inputs!$C$17,0,Inputs!$C$16*(I45-J45))</f>
        <v/>
      </c>
      <c r="L45">
        <f>I45-J45-K45</f>
        <v/>
      </c>
      <c r="M45">
        <f>K45*Inputs!$C$18</f>
        <v/>
      </c>
      <c r="N45">
        <f>Q44*(1-D45)+H45</f>
        <v/>
      </c>
      <c r="O45">
        <f>IF(A45&lt;Inputs!$C$17,MIN(Inputs!$C$25,N45),0)</f>
        <v/>
      </c>
      <c r="P45">
        <f>IF(A45&lt;Inputs!$C$17,0,MIN(Inputs!$C$25,N45)+Inputs!$C$16*(N45-MIN(Inputs!$C$25,N45)))</f>
        <v/>
      </c>
      <c r="Q45">
        <f>N45-O45-P45</f>
        <v/>
      </c>
      <c r="R45">
        <f>P45*Inputs!$C$18</f>
        <v/>
      </c>
      <c r="S45">
        <f>Cohort!H44</f>
        <v/>
      </c>
      <c r="T45">
        <f>B45/S45</f>
        <v/>
      </c>
    </row>
    <row r="46">
      <c r="A46" t="n">
        <v>2043</v>
      </c>
      <c r="B46">
        <f>Cohort!B45*Scenarios!$D$4</f>
        <v/>
      </c>
      <c r="C46">
        <f>Cohort!C45*Scenarios!$D$4</f>
        <v/>
      </c>
      <c r="D46">
        <f>Cohort!D45</f>
        <v/>
      </c>
      <c r="E46">
        <f>Cohort!E45*Scenarios!$D$4</f>
        <v/>
      </c>
      <c r="F46">
        <f>Cohort!F45*Scenarios!$D$4</f>
        <v/>
      </c>
      <c r="G46">
        <f>Cohort!G45*Scenarios!$D$4</f>
        <v/>
      </c>
      <c r="H46">
        <f>C46*Scenarios!$D$5</f>
        <v/>
      </c>
      <c r="I46">
        <f>L45*(1-D46)+H46</f>
        <v/>
      </c>
      <c r="J46">
        <f>MIN(Inputs!$C$25,I46)</f>
        <v/>
      </c>
      <c r="K46">
        <f>IF(A46&lt;Inputs!$C$17,0,Inputs!$C$16*(I46-J46))</f>
        <v/>
      </c>
      <c r="L46">
        <f>I46-J46-K46</f>
        <v/>
      </c>
      <c r="M46">
        <f>K46*Inputs!$C$18</f>
        <v/>
      </c>
      <c r="N46">
        <f>Q45*(1-D46)+H46</f>
        <v/>
      </c>
      <c r="O46">
        <f>IF(A46&lt;Inputs!$C$17,MIN(Inputs!$C$25,N46),0)</f>
        <v/>
      </c>
      <c r="P46">
        <f>IF(A46&lt;Inputs!$C$17,0,MIN(Inputs!$C$25,N46)+Inputs!$C$16*(N46-MIN(Inputs!$C$25,N46)))</f>
        <v/>
      </c>
      <c r="Q46">
        <f>N46-O46-P46</f>
        <v/>
      </c>
      <c r="R46">
        <f>P46*Inputs!$C$18</f>
        <v/>
      </c>
      <c r="S46">
        <f>Cohort!H45</f>
        <v/>
      </c>
      <c r="T46">
        <f>B46/S46</f>
        <v/>
      </c>
    </row>
    <row r="47">
      <c r="A47" t="n">
        <v>2044</v>
      </c>
      <c r="B47">
        <f>Cohort!B46*Scenarios!$D$4</f>
        <v/>
      </c>
      <c r="C47">
        <f>Cohort!C46*Scenarios!$D$4</f>
        <v/>
      </c>
      <c r="D47">
        <f>Cohort!D46</f>
        <v/>
      </c>
      <c r="E47">
        <f>Cohort!E46*Scenarios!$D$4</f>
        <v/>
      </c>
      <c r="F47">
        <f>Cohort!F46*Scenarios!$D$4</f>
        <v/>
      </c>
      <c r="G47">
        <f>Cohort!G46*Scenarios!$D$4</f>
        <v/>
      </c>
      <c r="H47">
        <f>C47*Scenarios!$D$5</f>
        <v/>
      </c>
      <c r="I47">
        <f>L46*(1-D47)+H47</f>
        <v/>
      </c>
      <c r="J47">
        <f>MIN(Inputs!$C$25,I47)</f>
        <v/>
      </c>
      <c r="K47">
        <f>IF(A47&lt;Inputs!$C$17,0,Inputs!$C$16*(I47-J47))</f>
        <v/>
      </c>
      <c r="L47">
        <f>I47-J47-K47</f>
        <v/>
      </c>
      <c r="M47">
        <f>K47*Inputs!$C$18</f>
        <v/>
      </c>
      <c r="N47">
        <f>Q46*(1-D47)+H47</f>
        <v/>
      </c>
      <c r="O47">
        <f>IF(A47&lt;Inputs!$C$17,MIN(Inputs!$C$25,N47),0)</f>
        <v/>
      </c>
      <c r="P47">
        <f>IF(A47&lt;Inputs!$C$17,0,MIN(Inputs!$C$25,N47)+Inputs!$C$16*(N47-MIN(Inputs!$C$25,N47)))</f>
        <v/>
      </c>
      <c r="Q47">
        <f>N47-O47-P47</f>
        <v/>
      </c>
      <c r="R47">
        <f>P47*Inputs!$C$18</f>
        <v/>
      </c>
      <c r="S47">
        <f>Cohort!H46</f>
        <v/>
      </c>
      <c r="T47">
        <f>B47/S47</f>
        <v/>
      </c>
    </row>
    <row r="48">
      <c r="A48" t="n">
        <v>2045</v>
      </c>
      <c r="B48">
        <f>Cohort!B47*Scenarios!$D$4</f>
        <v/>
      </c>
      <c r="C48">
        <f>Cohort!C47*Scenarios!$D$4</f>
        <v/>
      </c>
      <c r="D48">
        <f>Cohort!D47</f>
        <v/>
      </c>
      <c r="E48">
        <f>Cohort!E47*Scenarios!$D$4</f>
        <v/>
      </c>
      <c r="F48">
        <f>Cohort!F47*Scenarios!$D$4</f>
        <v/>
      </c>
      <c r="G48">
        <f>Cohort!G47*Scenarios!$D$4</f>
        <v/>
      </c>
      <c r="H48">
        <f>C48*Scenarios!$D$5</f>
        <v/>
      </c>
      <c r="I48">
        <f>L47*(1-D48)+H48</f>
        <v/>
      </c>
      <c r="J48">
        <f>MIN(Inputs!$C$25,I48)</f>
        <v/>
      </c>
      <c r="K48">
        <f>IF(A48&lt;Inputs!$C$17,0,Inputs!$C$16*(I48-J48))</f>
        <v/>
      </c>
      <c r="L48">
        <f>I48-J48-K48</f>
        <v/>
      </c>
      <c r="M48">
        <f>K48*Inputs!$C$18</f>
        <v/>
      </c>
      <c r="N48">
        <f>Q47*(1-D48)+H48</f>
        <v/>
      </c>
      <c r="O48">
        <f>IF(A48&lt;Inputs!$C$17,MIN(Inputs!$C$25,N48),0)</f>
        <v/>
      </c>
      <c r="P48">
        <f>IF(A48&lt;Inputs!$C$17,0,MIN(Inputs!$C$25,N48)+Inputs!$C$16*(N48-MIN(Inputs!$C$25,N48)))</f>
        <v/>
      </c>
      <c r="Q48">
        <f>N48-O48-P48</f>
        <v/>
      </c>
      <c r="R48">
        <f>P48*Inputs!$C$18</f>
        <v/>
      </c>
      <c r="S48">
        <f>Cohort!H47</f>
        <v/>
      </c>
      <c r="T48">
        <f>B48/S48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3" t="inlineStr">
        <is>
          <t>Eligibility case 10%. Eligible = Cohort × g; funnel inflow = newly eligible × P. Pre-launch DBS = MIN(DBS under cap, pool). After launch: A keeps DBS and the one-time therapy draws kf of the backlog; B replaces DBS (DBS-equivalent volume + kf of backlog). Rows before FY2026 grouped.</t>
        </is>
      </c>
    </row>
    <row r="2">
      <c r="A2" s="1" t="inlineStr">
        <is>
          <t>FY</t>
        </is>
      </c>
      <c r="B2" s="1" t="inlineStr">
        <is>
          <t>Eligible stock</t>
        </is>
      </c>
      <c r="C2" s="1" t="inlineStr">
        <is>
          <t>Newly eligible</t>
        </is>
      </c>
      <c r="D2" s="1" t="inlineStr">
        <is>
          <t>Exit μ</t>
        </is>
      </c>
      <c r="E2" s="1" t="inlineStr">
        <is>
          <t>Deaths</t>
        </is>
      </c>
      <c r="F2" s="1" t="inlineStr">
        <is>
          <t>Dementia</t>
        </is>
      </c>
      <c r="G2" s="1" t="inlineStr">
        <is>
          <t>Aged past cap</t>
        </is>
      </c>
      <c r="H2" s="1" t="inlineStr">
        <is>
          <t>Funnel inflow (×P)</t>
        </is>
      </c>
      <c r="I2" s="1" t="inlineStr">
        <is>
          <t>A: pool available</t>
        </is>
      </c>
      <c r="J2" s="1" t="inlineStr">
        <is>
          <t>A: DBS</t>
        </is>
      </c>
      <c r="K2" s="1" t="inlineStr">
        <is>
          <t>A: one-time</t>
        </is>
      </c>
      <c r="L2" s="1" t="inlineStr">
        <is>
          <t>A: backlog end</t>
        </is>
      </c>
      <c r="M2" s="1" t="inlineStr">
        <is>
          <t>A: $M</t>
        </is>
      </c>
      <c r="N2" s="1" t="inlineStr">
        <is>
          <t>B: pool available</t>
        </is>
      </c>
      <c r="O2" s="1" t="inlineStr">
        <is>
          <t>B: DBS</t>
        </is>
      </c>
      <c r="P2" s="1" t="inlineStr">
        <is>
          <t>B: one-time</t>
        </is>
      </c>
      <c r="Q2" s="1" t="inlineStr">
        <is>
          <t>B: backlog end</t>
        </is>
      </c>
      <c r="R2" s="1" t="inlineStr">
        <is>
          <t>B: $M</t>
        </is>
      </c>
      <c r="S2" s="1" t="inlineStr">
        <is>
          <t>PD prevalent</t>
        </is>
      </c>
      <c r="T2" s="1" t="inlineStr">
        <is>
          <t>Eligible % of PD</t>
        </is>
      </c>
    </row>
    <row r="3">
      <c r="A3" t="n">
        <v>2000</v>
      </c>
      <c r="L3" t="n">
        <v>0</v>
      </c>
      <c r="Q3" t="n">
        <v>0</v>
      </c>
    </row>
    <row r="4" hidden="1" outlineLevel="1">
      <c r="A4" t="n">
        <v>2001</v>
      </c>
      <c r="B4">
        <f>Cohort!B3*Scenarios!$E$4</f>
        <v/>
      </c>
      <c r="C4">
        <f>Cohort!C3*Scenarios!$E$4</f>
        <v/>
      </c>
      <c r="D4">
        <f>Cohort!D3</f>
        <v/>
      </c>
      <c r="E4">
        <f>Cohort!E3*Scenarios!$E$4</f>
        <v/>
      </c>
      <c r="F4">
        <f>Cohort!F3*Scenarios!$E$4</f>
        <v/>
      </c>
      <c r="G4">
        <f>Cohort!G3*Scenarios!$E$4</f>
        <v/>
      </c>
      <c r="H4">
        <f>C4*Scenarios!$E$5</f>
        <v/>
      </c>
      <c r="I4">
        <f>L3*(1-D4)+H4</f>
        <v/>
      </c>
      <c r="J4">
        <f>MIN(Inputs!$C$25,I4)</f>
        <v/>
      </c>
      <c r="K4">
        <f>IF(A4&lt;Inputs!$C$17,0,Inputs!$C$16*(I4-J4))</f>
        <v/>
      </c>
      <c r="L4">
        <f>I4-J4-K4</f>
        <v/>
      </c>
      <c r="M4">
        <f>K4*Inputs!$C$18</f>
        <v/>
      </c>
      <c r="N4">
        <f>Q3*(1-D4)+H4</f>
        <v/>
      </c>
      <c r="O4">
        <f>IF(A4&lt;Inputs!$C$17,MIN(Inputs!$C$25,N4),0)</f>
        <v/>
      </c>
      <c r="P4">
        <f>IF(A4&lt;Inputs!$C$17,0,MIN(Inputs!$C$25,N4)+Inputs!$C$16*(N4-MIN(Inputs!$C$25,N4)))</f>
        <v/>
      </c>
      <c r="Q4">
        <f>N4-O4-P4</f>
        <v/>
      </c>
      <c r="R4">
        <f>P4*Inputs!$C$18</f>
        <v/>
      </c>
      <c r="S4">
        <f>Cohort!H3</f>
        <v/>
      </c>
      <c r="T4">
        <f>B4/S4</f>
        <v/>
      </c>
    </row>
    <row r="5" hidden="1" outlineLevel="1">
      <c r="A5" t="n">
        <v>2002</v>
      </c>
      <c r="B5">
        <f>Cohort!B4*Scenarios!$E$4</f>
        <v/>
      </c>
      <c r="C5">
        <f>Cohort!C4*Scenarios!$E$4</f>
        <v/>
      </c>
      <c r="D5">
        <f>Cohort!D4</f>
        <v/>
      </c>
      <c r="E5">
        <f>Cohort!E4*Scenarios!$E$4</f>
        <v/>
      </c>
      <c r="F5">
        <f>Cohort!F4*Scenarios!$E$4</f>
        <v/>
      </c>
      <c r="G5">
        <f>Cohort!G4*Scenarios!$E$4</f>
        <v/>
      </c>
      <c r="H5">
        <f>C5*Scenarios!$E$5</f>
        <v/>
      </c>
      <c r="I5">
        <f>L4*(1-D5)+H5</f>
        <v/>
      </c>
      <c r="J5">
        <f>MIN(Inputs!$C$25,I5)</f>
        <v/>
      </c>
      <c r="K5">
        <f>IF(A5&lt;Inputs!$C$17,0,Inputs!$C$16*(I5-J5))</f>
        <v/>
      </c>
      <c r="L5">
        <f>I5-J5-K5</f>
        <v/>
      </c>
      <c r="M5">
        <f>K5*Inputs!$C$18</f>
        <v/>
      </c>
      <c r="N5">
        <f>Q4*(1-D5)+H5</f>
        <v/>
      </c>
      <c r="O5">
        <f>IF(A5&lt;Inputs!$C$17,MIN(Inputs!$C$25,N5),0)</f>
        <v/>
      </c>
      <c r="P5">
        <f>IF(A5&lt;Inputs!$C$17,0,MIN(Inputs!$C$25,N5)+Inputs!$C$16*(N5-MIN(Inputs!$C$25,N5)))</f>
        <v/>
      </c>
      <c r="Q5">
        <f>N5-O5-P5</f>
        <v/>
      </c>
      <c r="R5">
        <f>P5*Inputs!$C$18</f>
        <v/>
      </c>
      <c r="S5">
        <f>Cohort!H4</f>
        <v/>
      </c>
      <c r="T5">
        <f>B5/S5</f>
        <v/>
      </c>
    </row>
    <row r="6" hidden="1" outlineLevel="1">
      <c r="A6" t="n">
        <v>2003</v>
      </c>
      <c r="B6">
        <f>Cohort!B5*Scenarios!$E$4</f>
        <v/>
      </c>
      <c r="C6">
        <f>Cohort!C5*Scenarios!$E$4</f>
        <v/>
      </c>
      <c r="D6">
        <f>Cohort!D5</f>
        <v/>
      </c>
      <c r="E6">
        <f>Cohort!E5*Scenarios!$E$4</f>
        <v/>
      </c>
      <c r="F6">
        <f>Cohort!F5*Scenarios!$E$4</f>
        <v/>
      </c>
      <c r="G6">
        <f>Cohort!G5*Scenarios!$E$4</f>
        <v/>
      </c>
      <c r="H6">
        <f>C6*Scenarios!$E$5</f>
        <v/>
      </c>
      <c r="I6">
        <f>L5*(1-D6)+H6</f>
        <v/>
      </c>
      <c r="J6">
        <f>MIN(Inputs!$C$25,I6)</f>
        <v/>
      </c>
      <c r="K6">
        <f>IF(A6&lt;Inputs!$C$17,0,Inputs!$C$16*(I6-J6))</f>
        <v/>
      </c>
      <c r="L6">
        <f>I6-J6-K6</f>
        <v/>
      </c>
      <c r="M6">
        <f>K6*Inputs!$C$18</f>
        <v/>
      </c>
      <c r="N6">
        <f>Q5*(1-D6)+H6</f>
        <v/>
      </c>
      <c r="O6">
        <f>IF(A6&lt;Inputs!$C$17,MIN(Inputs!$C$25,N6),0)</f>
        <v/>
      </c>
      <c r="P6">
        <f>IF(A6&lt;Inputs!$C$17,0,MIN(Inputs!$C$25,N6)+Inputs!$C$16*(N6-MIN(Inputs!$C$25,N6)))</f>
        <v/>
      </c>
      <c r="Q6">
        <f>N6-O6-P6</f>
        <v/>
      </c>
      <c r="R6">
        <f>P6*Inputs!$C$18</f>
        <v/>
      </c>
      <c r="S6">
        <f>Cohort!H5</f>
        <v/>
      </c>
      <c r="T6">
        <f>B6/S6</f>
        <v/>
      </c>
    </row>
    <row r="7" hidden="1" outlineLevel="1">
      <c r="A7" t="n">
        <v>2004</v>
      </c>
      <c r="B7">
        <f>Cohort!B6*Scenarios!$E$4</f>
        <v/>
      </c>
      <c r="C7">
        <f>Cohort!C6*Scenarios!$E$4</f>
        <v/>
      </c>
      <c r="D7">
        <f>Cohort!D6</f>
        <v/>
      </c>
      <c r="E7">
        <f>Cohort!E6*Scenarios!$E$4</f>
        <v/>
      </c>
      <c r="F7">
        <f>Cohort!F6*Scenarios!$E$4</f>
        <v/>
      </c>
      <c r="G7">
        <f>Cohort!G6*Scenarios!$E$4</f>
        <v/>
      </c>
      <c r="H7">
        <f>C7*Scenarios!$E$5</f>
        <v/>
      </c>
      <c r="I7">
        <f>L6*(1-D7)+H7</f>
        <v/>
      </c>
      <c r="J7">
        <f>MIN(Inputs!$C$25,I7)</f>
        <v/>
      </c>
      <c r="K7">
        <f>IF(A7&lt;Inputs!$C$17,0,Inputs!$C$16*(I7-J7))</f>
        <v/>
      </c>
      <c r="L7">
        <f>I7-J7-K7</f>
        <v/>
      </c>
      <c r="M7">
        <f>K7*Inputs!$C$18</f>
        <v/>
      </c>
      <c r="N7">
        <f>Q6*(1-D7)+H7</f>
        <v/>
      </c>
      <c r="O7">
        <f>IF(A7&lt;Inputs!$C$17,MIN(Inputs!$C$25,N7),0)</f>
        <v/>
      </c>
      <c r="P7">
        <f>IF(A7&lt;Inputs!$C$17,0,MIN(Inputs!$C$25,N7)+Inputs!$C$16*(N7-MIN(Inputs!$C$25,N7)))</f>
        <v/>
      </c>
      <c r="Q7">
        <f>N7-O7-P7</f>
        <v/>
      </c>
      <c r="R7">
        <f>P7*Inputs!$C$18</f>
        <v/>
      </c>
      <c r="S7">
        <f>Cohort!H6</f>
        <v/>
      </c>
      <c r="T7">
        <f>B7/S7</f>
        <v/>
      </c>
    </row>
    <row r="8" hidden="1" outlineLevel="1">
      <c r="A8" t="n">
        <v>2005</v>
      </c>
      <c r="B8">
        <f>Cohort!B7*Scenarios!$E$4</f>
        <v/>
      </c>
      <c r="C8">
        <f>Cohort!C7*Scenarios!$E$4</f>
        <v/>
      </c>
      <c r="D8">
        <f>Cohort!D7</f>
        <v/>
      </c>
      <c r="E8">
        <f>Cohort!E7*Scenarios!$E$4</f>
        <v/>
      </c>
      <c r="F8">
        <f>Cohort!F7*Scenarios!$E$4</f>
        <v/>
      </c>
      <c r="G8">
        <f>Cohort!G7*Scenarios!$E$4</f>
        <v/>
      </c>
      <c r="H8">
        <f>C8*Scenarios!$E$5</f>
        <v/>
      </c>
      <c r="I8">
        <f>L7*(1-D8)+H8</f>
        <v/>
      </c>
      <c r="J8">
        <f>MIN(Inputs!$C$25,I8)</f>
        <v/>
      </c>
      <c r="K8">
        <f>IF(A8&lt;Inputs!$C$17,0,Inputs!$C$16*(I8-J8))</f>
        <v/>
      </c>
      <c r="L8">
        <f>I8-J8-K8</f>
        <v/>
      </c>
      <c r="M8">
        <f>K8*Inputs!$C$18</f>
        <v/>
      </c>
      <c r="N8">
        <f>Q7*(1-D8)+H8</f>
        <v/>
      </c>
      <c r="O8">
        <f>IF(A8&lt;Inputs!$C$17,MIN(Inputs!$C$25,N8),0)</f>
        <v/>
      </c>
      <c r="P8">
        <f>IF(A8&lt;Inputs!$C$17,0,MIN(Inputs!$C$25,N8)+Inputs!$C$16*(N8-MIN(Inputs!$C$25,N8)))</f>
        <v/>
      </c>
      <c r="Q8">
        <f>N8-O8-P8</f>
        <v/>
      </c>
      <c r="R8">
        <f>P8*Inputs!$C$18</f>
        <v/>
      </c>
      <c r="S8">
        <f>Cohort!H7</f>
        <v/>
      </c>
      <c r="T8">
        <f>B8/S8</f>
        <v/>
      </c>
    </row>
    <row r="9" hidden="1" outlineLevel="1">
      <c r="A9" t="n">
        <v>2006</v>
      </c>
      <c r="B9">
        <f>Cohort!B8*Scenarios!$E$4</f>
        <v/>
      </c>
      <c r="C9">
        <f>Cohort!C8*Scenarios!$E$4</f>
        <v/>
      </c>
      <c r="D9">
        <f>Cohort!D8</f>
        <v/>
      </c>
      <c r="E9">
        <f>Cohort!E8*Scenarios!$E$4</f>
        <v/>
      </c>
      <c r="F9">
        <f>Cohort!F8*Scenarios!$E$4</f>
        <v/>
      </c>
      <c r="G9">
        <f>Cohort!G8*Scenarios!$E$4</f>
        <v/>
      </c>
      <c r="H9">
        <f>C9*Scenarios!$E$5</f>
        <v/>
      </c>
      <c r="I9">
        <f>L8*(1-D9)+H9</f>
        <v/>
      </c>
      <c r="J9">
        <f>MIN(Inputs!$C$25,I9)</f>
        <v/>
      </c>
      <c r="K9">
        <f>IF(A9&lt;Inputs!$C$17,0,Inputs!$C$16*(I9-J9))</f>
        <v/>
      </c>
      <c r="L9">
        <f>I9-J9-K9</f>
        <v/>
      </c>
      <c r="M9">
        <f>K9*Inputs!$C$18</f>
        <v/>
      </c>
      <c r="N9">
        <f>Q8*(1-D9)+H9</f>
        <v/>
      </c>
      <c r="O9">
        <f>IF(A9&lt;Inputs!$C$17,MIN(Inputs!$C$25,N9),0)</f>
        <v/>
      </c>
      <c r="P9">
        <f>IF(A9&lt;Inputs!$C$17,0,MIN(Inputs!$C$25,N9)+Inputs!$C$16*(N9-MIN(Inputs!$C$25,N9)))</f>
        <v/>
      </c>
      <c r="Q9">
        <f>N9-O9-P9</f>
        <v/>
      </c>
      <c r="R9">
        <f>P9*Inputs!$C$18</f>
        <v/>
      </c>
      <c r="S9">
        <f>Cohort!H8</f>
        <v/>
      </c>
      <c r="T9">
        <f>B9/S9</f>
        <v/>
      </c>
    </row>
    <row r="10" hidden="1" outlineLevel="1">
      <c r="A10" t="n">
        <v>2007</v>
      </c>
      <c r="B10">
        <f>Cohort!B9*Scenarios!$E$4</f>
        <v/>
      </c>
      <c r="C10">
        <f>Cohort!C9*Scenarios!$E$4</f>
        <v/>
      </c>
      <c r="D10">
        <f>Cohort!D9</f>
        <v/>
      </c>
      <c r="E10">
        <f>Cohort!E9*Scenarios!$E$4</f>
        <v/>
      </c>
      <c r="F10">
        <f>Cohort!F9*Scenarios!$E$4</f>
        <v/>
      </c>
      <c r="G10">
        <f>Cohort!G9*Scenarios!$E$4</f>
        <v/>
      </c>
      <c r="H10">
        <f>C10*Scenarios!$E$5</f>
        <v/>
      </c>
      <c r="I10">
        <f>L9*(1-D10)+H10</f>
        <v/>
      </c>
      <c r="J10">
        <f>MIN(Inputs!$C$25,I10)</f>
        <v/>
      </c>
      <c r="K10">
        <f>IF(A10&lt;Inputs!$C$17,0,Inputs!$C$16*(I10-J10))</f>
        <v/>
      </c>
      <c r="L10">
        <f>I10-J10-K10</f>
        <v/>
      </c>
      <c r="M10">
        <f>K10*Inputs!$C$18</f>
        <v/>
      </c>
      <c r="N10">
        <f>Q9*(1-D10)+H10</f>
        <v/>
      </c>
      <c r="O10">
        <f>IF(A10&lt;Inputs!$C$17,MIN(Inputs!$C$25,N10),0)</f>
        <v/>
      </c>
      <c r="P10">
        <f>IF(A10&lt;Inputs!$C$17,0,MIN(Inputs!$C$25,N10)+Inputs!$C$16*(N10-MIN(Inputs!$C$25,N10)))</f>
        <v/>
      </c>
      <c r="Q10">
        <f>N10-O10-P10</f>
        <v/>
      </c>
      <c r="R10">
        <f>P10*Inputs!$C$18</f>
        <v/>
      </c>
      <c r="S10">
        <f>Cohort!H9</f>
        <v/>
      </c>
      <c r="T10">
        <f>B10/S10</f>
        <v/>
      </c>
    </row>
    <row r="11" hidden="1" outlineLevel="1">
      <c r="A11" t="n">
        <v>2008</v>
      </c>
      <c r="B11">
        <f>Cohort!B10*Scenarios!$E$4</f>
        <v/>
      </c>
      <c r="C11">
        <f>Cohort!C10*Scenarios!$E$4</f>
        <v/>
      </c>
      <c r="D11">
        <f>Cohort!D10</f>
        <v/>
      </c>
      <c r="E11">
        <f>Cohort!E10*Scenarios!$E$4</f>
        <v/>
      </c>
      <c r="F11">
        <f>Cohort!F10*Scenarios!$E$4</f>
        <v/>
      </c>
      <c r="G11">
        <f>Cohort!G10*Scenarios!$E$4</f>
        <v/>
      </c>
      <c r="H11">
        <f>C11*Scenarios!$E$5</f>
        <v/>
      </c>
      <c r="I11">
        <f>L10*(1-D11)+H11</f>
        <v/>
      </c>
      <c r="J11">
        <f>MIN(Inputs!$C$25,I11)</f>
        <v/>
      </c>
      <c r="K11">
        <f>IF(A11&lt;Inputs!$C$17,0,Inputs!$C$16*(I11-J11))</f>
        <v/>
      </c>
      <c r="L11">
        <f>I11-J11-K11</f>
        <v/>
      </c>
      <c r="M11">
        <f>K11*Inputs!$C$18</f>
        <v/>
      </c>
      <c r="N11">
        <f>Q10*(1-D11)+H11</f>
        <v/>
      </c>
      <c r="O11">
        <f>IF(A11&lt;Inputs!$C$17,MIN(Inputs!$C$25,N11),0)</f>
        <v/>
      </c>
      <c r="P11">
        <f>IF(A11&lt;Inputs!$C$17,0,MIN(Inputs!$C$25,N11)+Inputs!$C$16*(N11-MIN(Inputs!$C$25,N11)))</f>
        <v/>
      </c>
      <c r="Q11">
        <f>N11-O11-P11</f>
        <v/>
      </c>
      <c r="R11">
        <f>P11*Inputs!$C$18</f>
        <v/>
      </c>
      <c r="S11">
        <f>Cohort!H10</f>
        <v/>
      </c>
      <c r="T11">
        <f>B11/S11</f>
        <v/>
      </c>
    </row>
    <row r="12" hidden="1" outlineLevel="1">
      <c r="A12" t="n">
        <v>2009</v>
      </c>
      <c r="B12">
        <f>Cohort!B11*Scenarios!$E$4</f>
        <v/>
      </c>
      <c r="C12">
        <f>Cohort!C11*Scenarios!$E$4</f>
        <v/>
      </c>
      <c r="D12">
        <f>Cohort!D11</f>
        <v/>
      </c>
      <c r="E12">
        <f>Cohort!E11*Scenarios!$E$4</f>
        <v/>
      </c>
      <c r="F12">
        <f>Cohort!F11*Scenarios!$E$4</f>
        <v/>
      </c>
      <c r="G12">
        <f>Cohort!G11*Scenarios!$E$4</f>
        <v/>
      </c>
      <c r="H12">
        <f>C12*Scenarios!$E$5</f>
        <v/>
      </c>
      <c r="I12">
        <f>L11*(1-D12)+H12</f>
        <v/>
      </c>
      <c r="J12">
        <f>MIN(Inputs!$C$25,I12)</f>
        <v/>
      </c>
      <c r="K12">
        <f>IF(A12&lt;Inputs!$C$17,0,Inputs!$C$16*(I12-J12))</f>
        <v/>
      </c>
      <c r="L12">
        <f>I12-J12-K12</f>
        <v/>
      </c>
      <c r="M12">
        <f>K12*Inputs!$C$18</f>
        <v/>
      </c>
      <c r="N12">
        <f>Q11*(1-D12)+H12</f>
        <v/>
      </c>
      <c r="O12">
        <f>IF(A12&lt;Inputs!$C$17,MIN(Inputs!$C$25,N12),0)</f>
        <v/>
      </c>
      <c r="P12">
        <f>IF(A12&lt;Inputs!$C$17,0,MIN(Inputs!$C$25,N12)+Inputs!$C$16*(N12-MIN(Inputs!$C$25,N12)))</f>
        <v/>
      </c>
      <c r="Q12">
        <f>N12-O12-P12</f>
        <v/>
      </c>
      <c r="R12">
        <f>P12*Inputs!$C$18</f>
        <v/>
      </c>
      <c r="S12">
        <f>Cohort!H11</f>
        <v/>
      </c>
      <c r="T12">
        <f>B12/S12</f>
        <v/>
      </c>
    </row>
    <row r="13" hidden="1" outlineLevel="1">
      <c r="A13" t="n">
        <v>2010</v>
      </c>
      <c r="B13">
        <f>Cohort!B12*Scenarios!$E$4</f>
        <v/>
      </c>
      <c r="C13">
        <f>Cohort!C12*Scenarios!$E$4</f>
        <v/>
      </c>
      <c r="D13">
        <f>Cohort!D12</f>
        <v/>
      </c>
      <c r="E13">
        <f>Cohort!E12*Scenarios!$E$4</f>
        <v/>
      </c>
      <c r="F13">
        <f>Cohort!F12*Scenarios!$E$4</f>
        <v/>
      </c>
      <c r="G13">
        <f>Cohort!G12*Scenarios!$E$4</f>
        <v/>
      </c>
      <c r="H13">
        <f>C13*Scenarios!$E$5</f>
        <v/>
      </c>
      <c r="I13">
        <f>L12*(1-D13)+H13</f>
        <v/>
      </c>
      <c r="J13">
        <f>MIN(Inputs!$C$25,I13)</f>
        <v/>
      </c>
      <c r="K13">
        <f>IF(A13&lt;Inputs!$C$17,0,Inputs!$C$16*(I13-J13))</f>
        <v/>
      </c>
      <c r="L13">
        <f>I13-J13-K13</f>
        <v/>
      </c>
      <c r="M13">
        <f>K13*Inputs!$C$18</f>
        <v/>
      </c>
      <c r="N13">
        <f>Q12*(1-D13)+H13</f>
        <v/>
      </c>
      <c r="O13">
        <f>IF(A13&lt;Inputs!$C$17,MIN(Inputs!$C$25,N13),0)</f>
        <v/>
      </c>
      <c r="P13">
        <f>IF(A13&lt;Inputs!$C$17,0,MIN(Inputs!$C$25,N13)+Inputs!$C$16*(N13-MIN(Inputs!$C$25,N13)))</f>
        <v/>
      </c>
      <c r="Q13">
        <f>N13-O13-P13</f>
        <v/>
      </c>
      <c r="R13">
        <f>P13*Inputs!$C$18</f>
        <v/>
      </c>
      <c r="S13">
        <f>Cohort!H12</f>
        <v/>
      </c>
      <c r="T13">
        <f>B13/S13</f>
        <v/>
      </c>
    </row>
    <row r="14" hidden="1" outlineLevel="1">
      <c r="A14" t="n">
        <v>2011</v>
      </c>
      <c r="B14">
        <f>Cohort!B13*Scenarios!$E$4</f>
        <v/>
      </c>
      <c r="C14">
        <f>Cohort!C13*Scenarios!$E$4</f>
        <v/>
      </c>
      <c r="D14">
        <f>Cohort!D13</f>
        <v/>
      </c>
      <c r="E14">
        <f>Cohort!E13*Scenarios!$E$4</f>
        <v/>
      </c>
      <c r="F14">
        <f>Cohort!F13*Scenarios!$E$4</f>
        <v/>
      </c>
      <c r="G14">
        <f>Cohort!G13*Scenarios!$E$4</f>
        <v/>
      </c>
      <c r="H14">
        <f>C14*Scenarios!$E$5</f>
        <v/>
      </c>
      <c r="I14">
        <f>L13*(1-D14)+H14</f>
        <v/>
      </c>
      <c r="J14">
        <f>MIN(Inputs!$C$25,I14)</f>
        <v/>
      </c>
      <c r="K14">
        <f>IF(A14&lt;Inputs!$C$17,0,Inputs!$C$16*(I14-J14))</f>
        <v/>
      </c>
      <c r="L14">
        <f>I14-J14-K14</f>
        <v/>
      </c>
      <c r="M14">
        <f>K14*Inputs!$C$18</f>
        <v/>
      </c>
      <c r="N14">
        <f>Q13*(1-D14)+H14</f>
        <v/>
      </c>
      <c r="O14">
        <f>IF(A14&lt;Inputs!$C$17,MIN(Inputs!$C$25,N14),0)</f>
        <v/>
      </c>
      <c r="P14">
        <f>IF(A14&lt;Inputs!$C$17,0,MIN(Inputs!$C$25,N14)+Inputs!$C$16*(N14-MIN(Inputs!$C$25,N14)))</f>
        <v/>
      </c>
      <c r="Q14">
        <f>N14-O14-P14</f>
        <v/>
      </c>
      <c r="R14">
        <f>P14*Inputs!$C$18</f>
        <v/>
      </c>
      <c r="S14">
        <f>Cohort!H13</f>
        <v/>
      </c>
      <c r="T14">
        <f>B14/S14</f>
        <v/>
      </c>
    </row>
    <row r="15" hidden="1" outlineLevel="1">
      <c r="A15" t="n">
        <v>2012</v>
      </c>
      <c r="B15">
        <f>Cohort!B14*Scenarios!$E$4</f>
        <v/>
      </c>
      <c r="C15">
        <f>Cohort!C14*Scenarios!$E$4</f>
        <v/>
      </c>
      <c r="D15">
        <f>Cohort!D14</f>
        <v/>
      </c>
      <c r="E15">
        <f>Cohort!E14*Scenarios!$E$4</f>
        <v/>
      </c>
      <c r="F15">
        <f>Cohort!F14*Scenarios!$E$4</f>
        <v/>
      </c>
      <c r="G15">
        <f>Cohort!G14*Scenarios!$E$4</f>
        <v/>
      </c>
      <c r="H15">
        <f>C15*Scenarios!$E$5</f>
        <v/>
      </c>
      <c r="I15">
        <f>L14*(1-D15)+H15</f>
        <v/>
      </c>
      <c r="J15">
        <f>MIN(Inputs!$C$25,I15)</f>
        <v/>
      </c>
      <c r="K15">
        <f>IF(A15&lt;Inputs!$C$17,0,Inputs!$C$16*(I15-J15))</f>
        <v/>
      </c>
      <c r="L15">
        <f>I15-J15-K15</f>
        <v/>
      </c>
      <c r="M15">
        <f>K15*Inputs!$C$18</f>
        <v/>
      </c>
      <c r="N15">
        <f>Q14*(1-D15)+H15</f>
        <v/>
      </c>
      <c r="O15">
        <f>IF(A15&lt;Inputs!$C$17,MIN(Inputs!$C$25,N15),0)</f>
        <v/>
      </c>
      <c r="P15">
        <f>IF(A15&lt;Inputs!$C$17,0,MIN(Inputs!$C$25,N15)+Inputs!$C$16*(N15-MIN(Inputs!$C$25,N15)))</f>
        <v/>
      </c>
      <c r="Q15">
        <f>N15-O15-P15</f>
        <v/>
      </c>
      <c r="R15">
        <f>P15*Inputs!$C$18</f>
        <v/>
      </c>
      <c r="S15">
        <f>Cohort!H14</f>
        <v/>
      </c>
      <c r="T15">
        <f>B15/S15</f>
        <v/>
      </c>
    </row>
    <row r="16" hidden="1" outlineLevel="1">
      <c r="A16" t="n">
        <v>2013</v>
      </c>
      <c r="B16">
        <f>Cohort!B15*Scenarios!$E$4</f>
        <v/>
      </c>
      <c r="C16">
        <f>Cohort!C15*Scenarios!$E$4</f>
        <v/>
      </c>
      <c r="D16">
        <f>Cohort!D15</f>
        <v/>
      </c>
      <c r="E16">
        <f>Cohort!E15*Scenarios!$E$4</f>
        <v/>
      </c>
      <c r="F16">
        <f>Cohort!F15*Scenarios!$E$4</f>
        <v/>
      </c>
      <c r="G16">
        <f>Cohort!G15*Scenarios!$E$4</f>
        <v/>
      </c>
      <c r="H16">
        <f>C16*Scenarios!$E$5</f>
        <v/>
      </c>
      <c r="I16">
        <f>L15*(1-D16)+H16</f>
        <v/>
      </c>
      <c r="J16">
        <f>MIN(Inputs!$C$25,I16)</f>
        <v/>
      </c>
      <c r="K16">
        <f>IF(A16&lt;Inputs!$C$17,0,Inputs!$C$16*(I16-J16))</f>
        <v/>
      </c>
      <c r="L16">
        <f>I16-J16-K16</f>
        <v/>
      </c>
      <c r="M16">
        <f>K16*Inputs!$C$18</f>
        <v/>
      </c>
      <c r="N16">
        <f>Q15*(1-D16)+H16</f>
        <v/>
      </c>
      <c r="O16">
        <f>IF(A16&lt;Inputs!$C$17,MIN(Inputs!$C$25,N16),0)</f>
        <v/>
      </c>
      <c r="P16">
        <f>IF(A16&lt;Inputs!$C$17,0,MIN(Inputs!$C$25,N16)+Inputs!$C$16*(N16-MIN(Inputs!$C$25,N16)))</f>
        <v/>
      </c>
      <c r="Q16">
        <f>N16-O16-P16</f>
        <v/>
      </c>
      <c r="R16">
        <f>P16*Inputs!$C$18</f>
        <v/>
      </c>
      <c r="S16">
        <f>Cohort!H15</f>
        <v/>
      </c>
      <c r="T16">
        <f>B16/S16</f>
        <v/>
      </c>
    </row>
    <row r="17" hidden="1" outlineLevel="1">
      <c r="A17" t="n">
        <v>2014</v>
      </c>
      <c r="B17">
        <f>Cohort!B16*Scenarios!$E$4</f>
        <v/>
      </c>
      <c r="C17">
        <f>Cohort!C16*Scenarios!$E$4</f>
        <v/>
      </c>
      <c r="D17">
        <f>Cohort!D16</f>
        <v/>
      </c>
      <c r="E17">
        <f>Cohort!E16*Scenarios!$E$4</f>
        <v/>
      </c>
      <c r="F17">
        <f>Cohort!F16*Scenarios!$E$4</f>
        <v/>
      </c>
      <c r="G17">
        <f>Cohort!G16*Scenarios!$E$4</f>
        <v/>
      </c>
      <c r="H17">
        <f>C17*Scenarios!$E$5</f>
        <v/>
      </c>
      <c r="I17">
        <f>L16*(1-D17)+H17</f>
        <v/>
      </c>
      <c r="J17">
        <f>MIN(Inputs!$C$25,I17)</f>
        <v/>
      </c>
      <c r="K17">
        <f>IF(A17&lt;Inputs!$C$17,0,Inputs!$C$16*(I17-J17))</f>
        <v/>
      </c>
      <c r="L17">
        <f>I17-J17-K17</f>
        <v/>
      </c>
      <c r="M17">
        <f>K17*Inputs!$C$18</f>
        <v/>
      </c>
      <c r="N17">
        <f>Q16*(1-D17)+H17</f>
        <v/>
      </c>
      <c r="O17">
        <f>IF(A17&lt;Inputs!$C$17,MIN(Inputs!$C$25,N17),0)</f>
        <v/>
      </c>
      <c r="P17">
        <f>IF(A17&lt;Inputs!$C$17,0,MIN(Inputs!$C$25,N17)+Inputs!$C$16*(N17-MIN(Inputs!$C$25,N17)))</f>
        <v/>
      </c>
      <c r="Q17">
        <f>N17-O17-P17</f>
        <v/>
      </c>
      <c r="R17">
        <f>P17*Inputs!$C$18</f>
        <v/>
      </c>
      <c r="S17">
        <f>Cohort!H16</f>
        <v/>
      </c>
      <c r="T17">
        <f>B17/S17</f>
        <v/>
      </c>
    </row>
    <row r="18" hidden="1" outlineLevel="1">
      <c r="A18" t="n">
        <v>2015</v>
      </c>
      <c r="B18">
        <f>Cohort!B17*Scenarios!$E$4</f>
        <v/>
      </c>
      <c r="C18">
        <f>Cohort!C17*Scenarios!$E$4</f>
        <v/>
      </c>
      <c r="D18">
        <f>Cohort!D17</f>
        <v/>
      </c>
      <c r="E18">
        <f>Cohort!E17*Scenarios!$E$4</f>
        <v/>
      </c>
      <c r="F18">
        <f>Cohort!F17*Scenarios!$E$4</f>
        <v/>
      </c>
      <c r="G18">
        <f>Cohort!G17*Scenarios!$E$4</f>
        <v/>
      </c>
      <c r="H18">
        <f>C18*Scenarios!$E$5</f>
        <v/>
      </c>
      <c r="I18">
        <f>L17*(1-D18)+H18</f>
        <v/>
      </c>
      <c r="J18">
        <f>MIN(Inputs!$C$25,I18)</f>
        <v/>
      </c>
      <c r="K18">
        <f>IF(A18&lt;Inputs!$C$17,0,Inputs!$C$16*(I18-J18))</f>
        <v/>
      </c>
      <c r="L18">
        <f>I18-J18-K18</f>
        <v/>
      </c>
      <c r="M18">
        <f>K18*Inputs!$C$18</f>
        <v/>
      </c>
      <c r="N18">
        <f>Q17*(1-D18)+H18</f>
        <v/>
      </c>
      <c r="O18">
        <f>IF(A18&lt;Inputs!$C$17,MIN(Inputs!$C$25,N18),0)</f>
        <v/>
      </c>
      <c r="P18">
        <f>IF(A18&lt;Inputs!$C$17,0,MIN(Inputs!$C$25,N18)+Inputs!$C$16*(N18-MIN(Inputs!$C$25,N18)))</f>
        <v/>
      </c>
      <c r="Q18">
        <f>N18-O18-P18</f>
        <v/>
      </c>
      <c r="R18">
        <f>P18*Inputs!$C$18</f>
        <v/>
      </c>
      <c r="S18">
        <f>Cohort!H17</f>
        <v/>
      </c>
      <c r="T18">
        <f>B18/S18</f>
        <v/>
      </c>
    </row>
    <row r="19" hidden="1" outlineLevel="1">
      <c r="A19" t="n">
        <v>2016</v>
      </c>
      <c r="B19">
        <f>Cohort!B18*Scenarios!$E$4</f>
        <v/>
      </c>
      <c r="C19">
        <f>Cohort!C18*Scenarios!$E$4</f>
        <v/>
      </c>
      <c r="D19">
        <f>Cohort!D18</f>
        <v/>
      </c>
      <c r="E19">
        <f>Cohort!E18*Scenarios!$E$4</f>
        <v/>
      </c>
      <c r="F19">
        <f>Cohort!F18*Scenarios!$E$4</f>
        <v/>
      </c>
      <c r="G19">
        <f>Cohort!G18*Scenarios!$E$4</f>
        <v/>
      </c>
      <c r="H19">
        <f>C19*Scenarios!$E$5</f>
        <v/>
      </c>
      <c r="I19">
        <f>L18*(1-D19)+H19</f>
        <v/>
      </c>
      <c r="J19">
        <f>MIN(Inputs!$C$25,I19)</f>
        <v/>
      </c>
      <c r="K19">
        <f>IF(A19&lt;Inputs!$C$17,0,Inputs!$C$16*(I19-J19))</f>
        <v/>
      </c>
      <c r="L19">
        <f>I19-J19-K19</f>
        <v/>
      </c>
      <c r="M19">
        <f>K19*Inputs!$C$18</f>
        <v/>
      </c>
      <c r="N19">
        <f>Q18*(1-D19)+H19</f>
        <v/>
      </c>
      <c r="O19">
        <f>IF(A19&lt;Inputs!$C$17,MIN(Inputs!$C$25,N19),0)</f>
        <v/>
      </c>
      <c r="P19">
        <f>IF(A19&lt;Inputs!$C$17,0,MIN(Inputs!$C$25,N19)+Inputs!$C$16*(N19-MIN(Inputs!$C$25,N19)))</f>
        <v/>
      </c>
      <c r="Q19">
        <f>N19-O19-P19</f>
        <v/>
      </c>
      <c r="R19">
        <f>P19*Inputs!$C$18</f>
        <v/>
      </c>
      <c r="S19">
        <f>Cohort!H18</f>
        <v/>
      </c>
      <c r="T19">
        <f>B19/S19</f>
        <v/>
      </c>
    </row>
    <row r="20" hidden="1" outlineLevel="1">
      <c r="A20" t="n">
        <v>2017</v>
      </c>
      <c r="B20">
        <f>Cohort!B19*Scenarios!$E$4</f>
        <v/>
      </c>
      <c r="C20">
        <f>Cohort!C19*Scenarios!$E$4</f>
        <v/>
      </c>
      <c r="D20">
        <f>Cohort!D19</f>
        <v/>
      </c>
      <c r="E20">
        <f>Cohort!E19*Scenarios!$E$4</f>
        <v/>
      </c>
      <c r="F20">
        <f>Cohort!F19*Scenarios!$E$4</f>
        <v/>
      </c>
      <c r="G20">
        <f>Cohort!G19*Scenarios!$E$4</f>
        <v/>
      </c>
      <c r="H20">
        <f>C20*Scenarios!$E$5</f>
        <v/>
      </c>
      <c r="I20">
        <f>L19*(1-D20)+H20</f>
        <v/>
      </c>
      <c r="J20">
        <f>MIN(Inputs!$C$25,I20)</f>
        <v/>
      </c>
      <c r="K20">
        <f>IF(A20&lt;Inputs!$C$17,0,Inputs!$C$16*(I20-J20))</f>
        <v/>
      </c>
      <c r="L20">
        <f>I20-J20-K20</f>
        <v/>
      </c>
      <c r="M20">
        <f>K20*Inputs!$C$18</f>
        <v/>
      </c>
      <c r="N20">
        <f>Q19*(1-D20)+H20</f>
        <v/>
      </c>
      <c r="O20">
        <f>IF(A20&lt;Inputs!$C$17,MIN(Inputs!$C$25,N20),0)</f>
        <v/>
      </c>
      <c r="P20">
        <f>IF(A20&lt;Inputs!$C$17,0,MIN(Inputs!$C$25,N20)+Inputs!$C$16*(N20-MIN(Inputs!$C$25,N20)))</f>
        <v/>
      </c>
      <c r="Q20">
        <f>N20-O20-P20</f>
        <v/>
      </c>
      <c r="R20">
        <f>P20*Inputs!$C$18</f>
        <v/>
      </c>
      <c r="S20">
        <f>Cohort!H19</f>
        <v/>
      </c>
      <c r="T20">
        <f>B20/S20</f>
        <v/>
      </c>
    </row>
    <row r="21" hidden="1" outlineLevel="1">
      <c r="A21" t="n">
        <v>2018</v>
      </c>
      <c r="B21">
        <f>Cohort!B20*Scenarios!$E$4</f>
        <v/>
      </c>
      <c r="C21">
        <f>Cohort!C20*Scenarios!$E$4</f>
        <v/>
      </c>
      <c r="D21">
        <f>Cohort!D20</f>
        <v/>
      </c>
      <c r="E21">
        <f>Cohort!E20*Scenarios!$E$4</f>
        <v/>
      </c>
      <c r="F21">
        <f>Cohort!F20*Scenarios!$E$4</f>
        <v/>
      </c>
      <c r="G21">
        <f>Cohort!G20*Scenarios!$E$4</f>
        <v/>
      </c>
      <c r="H21">
        <f>C21*Scenarios!$E$5</f>
        <v/>
      </c>
      <c r="I21">
        <f>L20*(1-D21)+H21</f>
        <v/>
      </c>
      <c r="J21">
        <f>MIN(Inputs!$C$25,I21)</f>
        <v/>
      </c>
      <c r="K21">
        <f>IF(A21&lt;Inputs!$C$17,0,Inputs!$C$16*(I21-J21))</f>
        <v/>
      </c>
      <c r="L21">
        <f>I21-J21-K21</f>
        <v/>
      </c>
      <c r="M21">
        <f>K21*Inputs!$C$18</f>
        <v/>
      </c>
      <c r="N21">
        <f>Q20*(1-D21)+H21</f>
        <v/>
      </c>
      <c r="O21">
        <f>IF(A21&lt;Inputs!$C$17,MIN(Inputs!$C$25,N21),0)</f>
        <v/>
      </c>
      <c r="P21">
        <f>IF(A21&lt;Inputs!$C$17,0,MIN(Inputs!$C$25,N21)+Inputs!$C$16*(N21-MIN(Inputs!$C$25,N21)))</f>
        <v/>
      </c>
      <c r="Q21">
        <f>N21-O21-P21</f>
        <v/>
      </c>
      <c r="R21">
        <f>P21*Inputs!$C$18</f>
        <v/>
      </c>
      <c r="S21">
        <f>Cohort!H20</f>
        <v/>
      </c>
      <c r="T21">
        <f>B21/S21</f>
        <v/>
      </c>
    </row>
    <row r="22" hidden="1" outlineLevel="1">
      <c r="A22" t="n">
        <v>2019</v>
      </c>
      <c r="B22">
        <f>Cohort!B21*Scenarios!$E$4</f>
        <v/>
      </c>
      <c r="C22">
        <f>Cohort!C21*Scenarios!$E$4</f>
        <v/>
      </c>
      <c r="D22">
        <f>Cohort!D21</f>
        <v/>
      </c>
      <c r="E22">
        <f>Cohort!E21*Scenarios!$E$4</f>
        <v/>
      </c>
      <c r="F22">
        <f>Cohort!F21*Scenarios!$E$4</f>
        <v/>
      </c>
      <c r="G22">
        <f>Cohort!G21*Scenarios!$E$4</f>
        <v/>
      </c>
      <c r="H22">
        <f>C22*Scenarios!$E$5</f>
        <v/>
      </c>
      <c r="I22">
        <f>L21*(1-D22)+H22</f>
        <v/>
      </c>
      <c r="J22">
        <f>MIN(Inputs!$C$25,I22)</f>
        <v/>
      </c>
      <c r="K22">
        <f>IF(A22&lt;Inputs!$C$17,0,Inputs!$C$16*(I22-J22))</f>
        <v/>
      </c>
      <c r="L22">
        <f>I22-J22-K22</f>
        <v/>
      </c>
      <c r="M22">
        <f>K22*Inputs!$C$18</f>
        <v/>
      </c>
      <c r="N22">
        <f>Q21*(1-D22)+H22</f>
        <v/>
      </c>
      <c r="O22">
        <f>IF(A22&lt;Inputs!$C$17,MIN(Inputs!$C$25,N22),0)</f>
        <v/>
      </c>
      <c r="P22">
        <f>IF(A22&lt;Inputs!$C$17,0,MIN(Inputs!$C$25,N22)+Inputs!$C$16*(N22-MIN(Inputs!$C$25,N22)))</f>
        <v/>
      </c>
      <c r="Q22">
        <f>N22-O22-P22</f>
        <v/>
      </c>
      <c r="R22">
        <f>P22*Inputs!$C$18</f>
        <v/>
      </c>
      <c r="S22">
        <f>Cohort!H21</f>
        <v/>
      </c>
      <c r="T22">
        <f>B22/S22</f>
        <v/>
      </c>
    </row>
    <row r="23" hidden="1" outlineLevel="1">
      <c r="A23" t="n">
        <v>2020</v>
      </c>
      <c r="B23">
        <f>Cohort!B22*Scenarios!$E$4</f>
        <v/>
      </c>
      <c r="C23">
        <f>Cohort!C22*Scenarios!$E$4</f>
        <v/>
      </c>
      <c r="D23">
        <f>Cohort!D22</f>
        <v/>
      </c>
      <c r="E23">
        <f>Cohort!E22*Scenarios!$E$4</f>
        <v/>
      </c>
      <c r="F23">
        <f>Cohort!F22*Scenarios!$E$4</f>
        <v/>
      </c>
      <c r="G23">
        <f>Cohort!G22*Scenarios!$E$4</f>
        <v/>
      </c>
      <c r="H23">
        <f>C23*Scenarios!$E$5</f>
        <v/>
      </c>
      <c r="I23">
        <f>L22*(1-D23)+H23</f>
        <v/>
      </c>
      <c r="J23">
        <f>MIN(Inputs!$C$25,I23)</f>
        <v/>
      </c>
      <c r="K23">
        <f>IF(A23&lt;Inputs!$C$17,0,Inputs!$C$16*(I23-J23))</f>
        <v/>
      </c>
      <c r="L23">
        <f>I23-J23-K23</f>
        <v/>
      </c>
      <c r="M23">
        <f>K23*Inputs!$C$18</f>
        <v/>
      </c>
      <c r="N23">
        <f>Q22*(1-D23)+H23</f>
        <v/>
      </c>
      <c r="O23">
        <f>IF(A23&lt;Inputs!$C$17,MIN(Inputs!$C$25,N23),0)</f>
        <v/>
      </c>
      <c r="P23">
        <f>IF(A23&lt;Inputs!$C$17,0,MIN(Inputs!$C$25,N23)+Inputs!$C$16*(N23-MIN(Inputs!$C$25,N23)))</f>
        <v/>
      </c>
      <c r="Q23">
        <f>N23-O23-P23</f>
        <v/>
      </c>
      <c r="R23">
        <f>P23*Inputs!$C$18</f>
        <v/>
      </c>
      <c r="S23">
        <f>Cohort!H22</f>
        <v/>
      </c>
      <c r="T23">
        <f>B23/S23</f>
        <v/>
      </c>
    </row>
    <row r="24" hidden="1" outlineLevel="1">
      <c r="A24" t="n">
        <v>2021</v>
      </c>
      <c r="B24">
        <f>Cohort!B23*Scenarios!$E$4</f>
        <v/>
      </c>
      <c r="C24">
        <f>Cohort!C23*Scenarios!$E$4</f>
        <v/>
      </c>
      <c r="D24">
        <f>Cohort!D23</f>
        <v/>
      </c>
      <c r="E24">
        <f>Cohort!E23*Scenarios!$E$4</f>
        <v/>
      </c>
      <c r="F24">
        <f>Cohort!F23*Scenarios!$E$4</f>
        <v/>
      </c>
      <c r="G24">
        <f>Cohort!G23*Scenarios!$E$4</f>
        <v/>
      </c>
      <c r="H24">
        <f>C24*Scenarios!$E$5</f>
        <v/>
      </c>
      <c r="I24">
        <f>L23*(1-D24)+H24</f>
        <v/>
      </c>
      <c r="J24">
        <f>MIN(Inputs!$C$25,I24)</f>
        <v/>
      </c>
      <c r="K24">
        <f>IF(A24&lt;Inputs!$C$17,0,Inputs!$C$16*(I24-J24))</f>
        <v/>
      </c>
      <c r="L24">
        <f>I24-J24-K24</f>
        <v/>
      </c>
      <c r="M24">
        <f>K24*Inputs!$C$18</f>
        <v/>
      </c>
      <c r="N24">
        <f>Q23*(1-D24)+H24</f>
        <v/>
      </c>
      <c r="O24">
        <f>IF(A24&lt;Inputs!$C$17,MIN(Inputs!$C$25,N24),0)</f>
        <v/>
      </c>
      <c r="P24">
        <f>IF(A24&lt;Inputs!$C$17,0,MIN(Inputs!$C$25,N24)+Inputs!$C$16*(N24-MIN(Inputs!$C$25,N24)))</f>
        <v/>
      </c>
      <c r="Q24">
        <f>N24-O24-P24</f>
        <v/>
      </c>
      <c r="R24">
        <f>P24*Inputs!$C$18</f>
        <v/>
      </c>
      <c r="S24">
        <f>Cohort!H23</f>
        <v/>
      </c>
      <c r="T24">
        <f>B24/S24</f>
        <v/>
      </c>
    </row>
    <row r="25" hidden="1" outlineLevel="1">
      <c r="A25" t="n">
        <v>2022</v>
      </c>
      <c r="B25">
        <f>Cohort!B24*Scenarios!$E$4</f>
        <v/>
      </c>
      <c r="C25">
        <f>Cohort!C24*Scenarios!$E$4</f>
        <v/>
      </c>
      <c r="D25">
        <f>Cohort!D24</f>
        <v/>
      </c>
      <c r="E25">
        <f>Cohort!E24*Scenarios!$E$4</f>
        <v/>
      </c>
      <c r="F25">
        <f>Cohort!F24*Scenarios!$E$4</f>
        <v/>
      </c>
      <c r="G25">
        <f>Cohort!G24*Scenarios!$E$4</f>
        <v/>
      </c>
      <c r="H25">
        <f>C25*Scenarios!$E$5</f>
        <v/>
      </c>
      <c r="I25">
        <f>L24*(1-D25)+H25</f>
        <v/>
      </c>
      <c r="J25">
        <f>MIN(Inputs!$C$25,I25)</f>
        <v/>
      </c>
      <c r="K25">
        <f>IF(A25&lt;Inputs!$C$17,0,Inputs!$C$16*(I25-J25))</f>
        <v/>
      </c>
      <c r="L25">
        <f>I25-J25-K25</f>
        <v/>
      </c>
      <c r="M25">
        <f>K25*Inputs!$C$18</f>
        <v/>
      </c>
      <c r="N25">
        <f>Q24*(1-D25)+H25</f>
        <v/>
      </c>
      <c r="O25">
        <f>IF(A25&lt;Inputs!$C$17,MIN(Inputs!$C$25,N25),0)</f>
        <v/>
      </c>
      <c r="P25">
        <f>IF(A25&lt;Inputs!$C$17,0,MIN(Inputs!$C$25,N25)+Inputs!$C$16*(N25-MIN(Inputs!$C$25,N25)))</f>
        <v/>
      </c>
      <c r="Q25">
        <f>N25-O25-P25</f>
        <v/>
      </c>
      <c r="R25">
        <f>P25*Inputs!$C$18</f>
        <v/>
      </c>
      <c r="S25">
        <f>Cohort!H24</f>
        <v/>
      </c>
      <c r="T25">
        <f>B25/S25</f>
        <v/>
      </c>
    </row>
    <row r="26" hidden="1" outlineLevel="1">
      <c r="A26" t="n">
        <v>2023</v>
      </c>
      <c r="B26">
        <f>Cohort!B25*Scenarios!$E$4</f>
        <v/>
      </c>
      <c r="C26">
        <f>Cohort!C25*Scenarios!$E$4</f>
        <v/>
      </c>
      <c r="D26">
        <f>Cohort!D25</f>
        <v/>
      </c>
      <c r="E26">
        <f>Cohort!E25*Scenarios!$E$4</f>
        <v/>
      </c>
      <c r="F26">
        <f>Cohort!F25*Scenarios!$E$4</f>
        <v/>
      </c>
      <c r="G26">
        <f>Cohort!G25*Scenarios!$E$4</f>
        <v/>
      </c>
      <c r="H26">
        <f>C26*Scenarios!$E$5</f>
        <v/>
      </c>
      <c r="I26">
        <f>L25*(1-D26)+H26</f>
        <v/>
      </c>
      <c r="J26">
        <f>MIN(Inputs!$C$25,I26)</f>
        <v/>
      </c>
      <c r="K26">
        <f>IF(A26&lt;Inputs!$C$17,0,Inputs!$C$16*(I26-J26))</f>
        <v/>
      </c>
      <c r="L26">
        <f>I26-J26-K26</f>
        <v/>
      </c>
      <c r="M26">
        <f>K26*Inputs!$C$18</f>
        <v/>
      </c>
      <c r="N26">
        <f>Q25*(1-D26)+H26</f>
        <v/>
      </c>
      <c r="O26">
        <f>IF(A26&lt;Inputs!$C$17,MIN(Inputs!$C$25,N26),0)</f>
        <v/>
      </c>
      <c r="P26">
        <f>IF(A26&lt;Inputs!$C$17,0,MIN(Inputs!$C$25,N26)+Inputs!$C$16*(N26-MIN(Inputs!$C$25,N26)))</f>
        <v/>
      </c>
      <c r="Q26">
        <f>N26-O26-P26</f>
        <v/>
      </c>
      <c r="R26">
        <f>P26*Inputs!$C$18</f>
        <v/>
      </c>
      <c r="S26">
        <f>Cohort!H25</f>
        <v/>
      </c>
      <c r="T26">
        <f>B26/S26</f>
        <v/>
      </c>
    </row>
    <row r="27" hidden="1" outlineLevel="1">
      <c r="A27" t="n">
        <v>2024</v>
      </c>
      <c r="B27">
        <f>Cohort!B26*Scenarios!$E$4</f>
        <v/>
      </c>
      <c r="C27">
        <f>Cohort!C26*Scenarios!$E$4</f>
        <v/>
      </c>
      <c r="D27">
        <f>Cohort!D26</f>
        <v/>
      </c>
      <c r="E27">
        <f>Cohort!E26*Scenarios!$E$4</f>
        <v/>
      </c>
      <c r="F27">
        <f>Cohort!F26*Scenarios!$E$4</f>
        <v/>
      </c>
      <c r="G27">
        <f>Cohort!G26*Scenarios!$E$4</f>
        <v/>
      </c>
      <c r="H27">
        <f>C27*Scenarios!$E$5</f>
        <v/>
      </c>
      <c r="I27">
        <f>L26*(1-D27)+H27</f>
        <v/>
      </c>
      <c r="J27">
        <f>MIN(Inputs!$C$25,I27)</f>
        <v/>
      </c>
      <c r="K27">
        <f>IF(A27&lt;Inputs!$C$17,0,Inputs!$C$16*(I27-J27))</f>
        <v/>
      </c>
      <c r="L27">
        <f>I27-J27-K27</f>
        <v/>
      </c>
      <c r="M27">
        <f>K27*Inputs!$C$18</f>
        <v/>
      </c>
      <c r="N27">
        <f>Q26*(1-D27)+H27</f>
        <v/>
      </c>
      <c r="O27">
        <f>IF(A27&lt;Inputs!$C$17,MIN(Inputs!$C$25,N27),0)</f>
        <v/>
      </c>
      <c r="P27">
        <f>IF(A27&lt;Inputs!$C$17,0,MIN(Inputs!$C$25,N27)+Inputs!$C$16*(N27-MIN(Inputs!$C$25,N27)))</f>
        <v/>
      </c>
      <c r="Q27">
        <f>N27-O27-P27</f>
        <v/>
      </c>
      <c r="R27">
        <f>P27*Inputs!$C$18</f>
        <v/>
      </c>
      <c r="S27">
        <f>Cohort!H26</f>
        <v/>
      </c>
      <c r="T27">
        <f>B27/S27</f>
        <v/>
      </c>
    </row>
    <row r="28" hidden="1" outlineLevel="1">
      <c r="A28" t="n">
        <v>2025</v>
      </c>
      <c r="B28">
        <f>Cohort!B27*Scenarios!$E$4</f>
        <v/>
      </c>
      <c r="C28">
        <f>Cohort!C27*Scenarios!$E$4</f>
        <v/>
      </c>
      <c r="D28">
        <f>Cohort!D27</f>
        <v/>
      </c>
      <c r="E28">
        <f>Cohort!E27*Scenarios!$E$4</f>
        <v/>
      </c>
      <c r="F28">
        <f>Cohort!F27*Scenarios!$E$4</f>
        <v/>
      </c>
      <c r="G28">
        <f>Cohort!G27*Scenarios!$E$4</f>
        <v/>
      </c>
      <c r="H28">
        <f>C28*Scenarios!$E$5</f>
        <v/>
      </c>
      <c r="I28">
        <f>L27*(1-D28)+H28</f>
        <v/>
      </c>
      <c r="J28">
        <f>MIN(Inputs!$C$25,I28)</f>
        <v/>
      </c>
      <c r="K28">
        <f>IF(A28&lt;Inputs!$C$17,0,Inputs!$C$16*(I28-J28))</f>
        <v/>
      </c>
      <c r="L28">
        <f>I28-J28-K28</f>
        <v/>
      </c>
      <c r="M28">
        <f>K28*Inputs!$C$18</f>
        <v/>
      </c>
      <c r="N28">
        <f>Q27*(1-D28)+H28</f>
        <v/>
      </c>
      <c r="O28">
        <f>IF(A28&lt;Inputs!$C$17,MIN(Inputs!$C$25,N28),0)</f>
        <v/>
      </c>
      <c r="P28">
        <f>IF(A28&lt;Inputs!$C$17,0,MIN(Inputs!$C$25,N28)+Inputs!$C$16*(N28-MIN(Inputs!$C$25,N28)))</f>
        <v/>
      </c>
      <c r="Q28">
        <f>N28-O28-P28</f>
        <v/>
      </c>
      <c r="R28">
        <f>P28*Inputs!$C$18</f>
        <v/>
      </c>
      <c r="S28">
        <f>Cohort!H27</f>
        <v/>
      </c>
      <c r="T28">
        <f>B28/S28</f>
        <v/>
      </c>
    </row>
    <row r="29">
      <c r="A29" t="n">
        <v>2026</v>
      </c>
      <c r="B29">
        <f>Cohort!B28*Scenarios!$E$4</f>
        <v/>
      </c>
      <c r="C29">
        <f>Cohort!C28*Scenarios!$E$4</f>
        <v/>
      </c>
      <c r="D29">
        <f>Cohort!D28</f>
        <v/>
      </c>
      <c r="E29">
        <f>Cohort!E28*Scenarios!$E$4</f>
        <v/>
      </c>
      <c r="F29">
        <f>Cohort!F28*Scenarios!$E$4</f>
        <v/>
      </c>
      <c r="G29">
        <f>Cohort!G28*Scenarios!$E$4</f>
        <v/>
      </c>
      <c r="H29">
        <f>C29*Scenarios!$E$5</f>
        <v/>
      </c>
      <c r="I29">
        <f>L28*(1-D29)+H29</f>
        <v/>
      </c>
      <c r="J29">
        <f>MIN(Inputs!$C$25,I29)</f>
        <v/>
      </c>
      <c r="K29">
        <f>IF(A29&lt;Inputs!$C$17,0,Inputs!$C$16*(I29-J29))</f>
        <v/>
      </c>
      <c r="L29">
        <f>I29-J29-K29</f>
        <v/>
      </c>
      <c r="M29">
        <f>K29*Inputs!$C$18</f>
        <v/>
      </c>
      <c r="N29">
        <f>Q28*(1-D29)+H29</f>
        <v/>
      </c>
      <c r="O29">
        <f>IF(A29&lt;Inputs!$C$17,MIN(Inputs!$C$25,N29),0)</f>
        <v/>
      </c>
      <c r="P29">
        <f>IF(A29&lt;Inputs!$C$17,0,MIN(Inputs!$C$25,N29)+Inputs!$C$16*(N29-MIN(Inputs!$C$25,N29)))</f>
        <v/>
      </c>
      <c r="Q29">
        <f>N29-O29-P29</f>
        <v/>
      </c>
      <c r="R29">
        <f>P29*Inputs!$C$18</f>
        <v/>
      </c>
      <c r="S29">
        <f>Cohort!H28</f>
        <v/>
      </c>
      <c r="T29">
        <f>B29/S29</f>
        <v/>
      </c>
    </row>
    <row r="30">
      <c r="A30" t="n">
        <v>2027</v>
      </c>
      <c r="B30">
        <f>Cohort!B29*Scenarios!$E$4</f>
        <v/>
      </c>
      <c r="C30">
        <f>Cohort!C29*Scenarios!$E$4</f>
        <v/>
      </c>
      <c r="D30">
        <f>Cohort!D29</f>
        <v/>
      </c>
      <c r="E30">
        <f>Cohort!E29*Scenarios!$E$4</f>
        <v/>
      </c>
      <c r="F30">
        <f>Cohort!F29*Scenarios!$E$4</f>
        <v/>
      </c>
      <c r="G30">
        <f>Cohort!G29*Scenarios!$E$4</f>
        <v/>
      </c>
      <c r="H30">
        <f>C30*Scenarios!$E$5</f>
        <v/>
      </c>
      <c r="I30">
        <f>L29*(1-D30)+H30</f>
        <v/>
      </c>
      <c r="J30">
        <f>MIN(Inputs!$C$25,I30)</f>
        <v/>
      </c>
      <c r="K30">
        <f>IF(A30&lt;Inputs!$C$17,0,Inputs!$C$16*(I30-J30))</f>
        <v/>
      </c>
      <c r="L30">
        <f>I30-J30-K30</f>
        <v/>
      </c>
      <c r="M30">
        <f>K30*Inputs!$C$18</f>
        <v/>
      </c>
      <c r="N30">
        <f>Q29*(1-D30)+H30</f>
        <v/>
      </c>
      <c r="O30">
        <f>IF(A30&lt;Inputs!$C$17,MIN(Inputs!$C$25,N30),0)</f>
        <v/>
      </c>
      <c r="P30">
        <f>IF(A30&lt;Inputs!$C$17,0,MIN(Inputs!$C$25,N30)+Inputs!$C$16*(N30-MIN(Inputs!$C$25,N30)))</f>
        <v/>
      </c>
      <c r="Q30">
        <f>N30-O30-P30</f>
        <v/>
      </c>
      <c r="R30">
        <f>P30*Inputs!$C$18</f>
        <v/>
      </c>
      <c r="S30">
        <f>Cohort!H29</f>
        <v/>
      </c>
      <c r="T30">
        <f>B30/S30</f>
        <v/>
      </c>
    </row>
    <row r="31">
      <c r="A31" t="n">
        <v>2028</v>
      </c>
      <c r="B31">
        <f>Cohort!B30*Scenarios!$E$4</f>
        <v/>
      </c>
      <c r="C31">
        <f>Cohort!C30*Scenarios!$E$4</f>
        <v/>
      </c>
      <c r="D31">
        <f>Cohort!D30</f>
        <v/>
      </c>
      <c r="E31">
        <f>Cohort!E30*Scenarios!$E$4</f>
        <v/>
      </c>
      <c r="F31">
        <f>Cohort!F30*Scenarios!$E$4</f>
        <v/>
      </c>
      <c r="G31">
        <f>Cohort!G30*Scenarios!$E$4</f>
        <v/>
      </c>
      <c r="H31">
        <f>C31*Scenarios!$E$5</f>
        <v/>
      </c>
      <c r="I31">
        <f>L30*(1-D31)+H31</f>
        <v/>
      </c>
      <c r="J31">
        <f>MIN(Inputs!$C$25,I31)</f>
        <v/>
      </c>
      <c r="K31">
        <f>IF(A31&lt;Inputs!$C$17,0,Inputs!$C$16*(I31-J31))</f>
        <v/>
      </c>
      <c r="L31">
        <f>I31-J31-K31</f>
        <v/>
      </c>
      <c r="M31">
        <f>K31*Inputs!$C$18</f>
        <v/>
      </c>
      <c r="N31">
        <f>Q30*(1-D31)+H31</f>
        <v/>
      </c>
      <c r="O31">
        <f>IF(A31&lt;Inputs!$C$17,MIN(Inputs!$C$25,N31),0)</f>
        <v/>
      </c>
      <c r="P31">
        <f>IF(A31&lt;Inputs!$C$17,0,MIN(Inputs!$C$25,N31)+Inputs!$C$16*(N31-MIN(Inputs!$C$25,N31)))</f>
        <v/>
      </c>
      <c r="Q31">
        <f>N31-O31-P31</f>
        <v/>
      </c>
      <c r="R31">
        <f>P31*Inputs!$C$18</f>
        <v/>
      </c>
      <c r="S31">
        <f>Cohort!H30</f>
        <v/>
      </c>
      <c r="T31">
        <f>B31/S31</f>
        <v/>
      </c>
    </row>
    <row r="32">
      <c r="A32" t="n">
        <v>2029</v>
      </c>
      <c r="B32">
        <f>Cohort!B31*Scenarios!$E$4</f>
        <v/>
      </c>
      <c r="C32">
        <f>Cohort!C31*Scenarios!$E$4</f>
        <v/>
      </c>
      <c r="D32">
        <f>Cohort!D31</f>
        <v/>
      </c>
      <c r="E32">
        <f>Cohort!E31*Scenarios!$E$4</f>
        <v/>
      </c>
      <c r="F32">
        <f>Cohort!F31*Scenarios!$E$4</f>
        <v/>
      </c>
      <c r="G32">
        <f>Cohort!G31*Scenarios!$E$4</f>
        <v/>
      </c>
      <c r="H32">
        <f>C32*Scenarios!$E$5</f>
        <v/>
      </c>
      <c r="I32">
        <f>L31*(1-D32)+H32</f>
        <v/>
      </c>
      <c r="J32">
        <f>MIN(Inputs!$C$25,I32)</f>
        <v/>
      </c>
      <c r="K32">
        <f>IF(A32&lt;Inputs!$C$17,0,Inputs!$C$16*(I32-J32))</f>
        <v/>
      </c>
      <c r="L32">
        <f>I32-J32-K32</f>
        <v/>
      </c>
      <c r="M32">
        <f>K32*Inputs!$C$18</f>
        <v/>
      </c>
      <c r="N32">
        <f>Q31*(1-D32)+H32</f>
        <v/>
      </c>
      <c r="O32">
        <f>IF(A32&lt;Inputs!$C$17,MIN(Inputs!$C$25,N32),0)</f>
        <v/>
      </c>
      <c r="P32">
        <f>IF(A32&lt;Inputs!$C$17,0,MIN(Inputs!$C$25,N32)+Inputs!$C$16*(N32-MIN(Inputs!$C$25,N32)))</f>
        <v/>
      </c>
      <c r="Q32">
        <f>N32-O32-P32</f>
        <v/>
      </c>
      <c r="R32">
        <f>P32*Inputs!$C$18</f>
        <v/>
      </c>
      <c r="S32">
        <f>Cohort!H31</f>
        <v/>
      </c>
      <c r="T32">
        <f>B32/S32</f>
        <v/>
      </c>
    </row>
    <row r="33">
      <c r="A33" t="n">
        <v>2030</v>
      </c>
      <c r="B33">
        <f>Cohort!B32*Scenarios!$E$4</f>
        <v/>
      </c>
      <c r="C33">
        <f>Cohort!C32*Scenarios!$E$4</f>
        <v/>
      </c>
      <c r="D33">
        <f>Cohort!D32</f>
        <v/>
      </c>
      <c r="E33">
        <f>Cohort!E32*Scenarios!$E$4</f>
        <v/>
      </c>
      <c r="F33">
        <f>Cohort!F32*Scenarios!$E$4</f>
        <v/>
      </c>
      <c r="G33">
        <f>Cohort!G32*Scenarios!$E$4</f>
        <v/>
      </c>
      <c r="H33">
        <f>C33*Scenarios!$E$5</f>
        <v/>
      </c>
      <c r="I33">
        <f>L32*(1-D33)+H33</f>
        <v/>
      </c>
      <c r="J33">
        <f>MIN(Inputs!$C$25,I33)</f>
        <v/>
      </c>
      <c r="K33">
        <f>IF(A33&lt;Inputs!$C$17,0,Inputs!$C$16*(I33-J33))</f>
        <v/>
      </c>
      <c r="L33">
        <f>I33-J33-K33</f>
        <v/>
      </c>
      <c r="M33">
        <f>K33*Inputs!$C$18</f>
        <v/>
      </c>
      <c r="N33">
        <f>Q32*(1-D33)+H33</f>
        <v/>
      </c>
      <c r="O33">
        <f>IF(A33&lt;Inputs!$C$17,MIN(Inputs!$C$25,N33),0)</f>
        <v/>
      </c>
      <c r="P33">
        <f>IF(A33&lt;Inputs!$C$17,0,MIN(Inputs!$C$25,N33)+Inputs!$C$16*(N33-MIN(Inputs!$C$25,N33)))</f>
        <v/>
      </c>
      <c r="Q33">
        <f>N33-O33-P33</f>
        <v/>
      </c>
      <c r="R33">
        <f>P33*Inputs!$C$18</f>
        <v/>
      </c>
      <c r="S33">
        <f>Cohort!H32</f>
        <v/>
      </c>
      <c r="T33">
        <f>B33/S33</f>
        <v/>
      </c>
    </row>
    <row r="34">
      <c r="A34" t="n">
        <v>2031</v>
      </c>
      <c r="B34">
        <f>Cohort!B33*Scenarios!$E$4</f>
        <v/>
      </c>
      <c r="C34">
        <f>Cohort!C33*Scenarios!$E$4</f>
        <v/>
      </c>
      <c r="D34">
        <f>Cohort!D33</f>
        <v/>
      </c>
      <c r="E34">
        <f>Cohort!E33*Scenarios!$E$4</f>
        <v/>
      </c>
      <c r="F34">
        <f>Cohort!F33*Scenarios!$E$4</f>
        <v/>
      </c>
      <c r="G34">
        <f>Cohort!G33*Scenarios!$E$4</f>
        <v/>
      </c>
      <c r="H34">
        <f>C34*Scenarios!$E$5</f>
        <v/>
      </c>
      <c r="I34">
        <f>L33*(1-D34)+H34</f>
        <v/>
      </c>
      <c r="J34">
        <f>MIN(Inputs!$C$25,I34)</f>
        <v/>
      </c>
      <c r="K34">
        <f>IF(A34&lt;Inputs!$C$17,0,Inputs!$C$16*(I34-J34))</f>
        <v/>
      </c>
      <c r="L34">
        <f>I34-J34-K34</f>
        <v/>
      </c>
      <c r="M34">
        <f>K34*Inputs!$C$18</f>
        <v/>
      </c>
      <c r="N34">
        <f>Q33*(1-D34)+H34</f>
        <v/>
      </c>
      <c r="O34">
        <f>IF(A34&lt;Inputs!$C$17,MIN(Inputs!$C$25,N34),0)</f>
        <v/>
      </c>
      <c r="P34">
        <f>IF(A34&lt;Inputs!$C$17,0,MIN(Inputs!$C$25,N34)+Inputs!$C$16*(N34-MIN(Inputs!$C$25,N34)))</f>
        <v/>
      </c>
      <c r="Q34">
        <f>N34-O34-P34</f>
        <v/>
      </c>
      <c r="R34">
        <f>P34*Inputs!$C$18</f>
        <v/>
      </c>
      <c r="S34">
        <f>Cohort!H33</f>
        <v/>
      </c>
      <c r="T34">
        <f>B34/S34</f>
        <v/>
      </c>
    </row>
    <row r="35">
      <c r="A35" t="n">
        <v>2032</v>
      </c>
      <c r="B35">
        <f>Cohort!B34*Scenarios!$E$4</f>
        <v/>
      </c>
      <c r="C35">
        <f>Cohort!C34*Scenarios!$E$4</f>
        <v/>
      </c>
      <c r="D35">
        <f>Cohort!D34</f>
        <v/>
      </c>
      <c r="E35">
        <f>Cohort!E34*Scenarios!$E$4</f>
        <v/>
      </c>
      <c r="F35">
        <f>Cohort!F34*Scenarios!$E$4</f>
        <v/>
      </c>
      <c r="G35">
        <f>Cohort!G34*Scenarios!$E$4</f>
        <v/>
      </c>
      <c r="H35">
        <f>C35*Scenarios!$E$5</f>
        <v/>
      </c>
      <c r="I35">
        <f>L34*(1-D35)+H35</f>
        <v/>
      </c>
      <c r="J35">
        <f>MIN(Inputs!$C$25,I35)</f>
        <v/>
      </c>
      <c r="K35">
        <f>IF(A35&lt;Inputs!$C$17,0,Inputs!$C$16*(I35-J35))</f>
        <v/>
      </c>
      <c r="L35">
        <f>I35-J35-K35</f>
        <v/>
      </c>
      <c r="M35">
        <f>K35*Inputs!$C$18</f>
        <v/>
      </c>
      <c r="N35">
        <f>Q34*(1-D35)+H35</f>
        <v/>
      </c>
      <c r="O35">
        <f>IF(A35&lt;Inputs!$C$17,MIN(Inputs!$C$25,N35),0)</f>
        <v/>
      </c>
      <c r="P35">
        <f>IF(A35&lt;Inputs!$C$17,0,MIN(Inputs!$C$25,N35)+Inputs!$C$16*(N35-MIN(Inputs!$C$25,N35)))</f>
        <v/>
      </c>
      <c r="Q35">
        <f>N35-O35-P35</f>
        <v/>
      </c>
      <c r="R35">
        <f>P35*Inputs!$C$18</f>
        <v/>
      </c>
      <c r="S35">
        <f>Cohort!H34</f>
        <v/>
      </c>
      <c r="T35">
        <f>B35/S35</f>
        <v/>
      </c>
    </row>
    <row r="36">
      <c r="A36" t="n">
        <v>2033</v>
      </c>
      <c r="B36">
        <f>Cohort!B35*Scenarios!$E$4</f>
        <v/>
      </c>
      <c r="C36">
        <f>Cohort!C35*Scenarios!$E$4</f>
        <v/>
      </c>
      <c r="D36">
        <f>Cohort!D35</f>
        <v/>
      </c>
      <c r="E36">
        <f>Cohort!E35*Scenarios!$E$4</f>
        <v/>
      </c>
      <c r="F36">
        <f>Cohort!F35*Scenarios!$E$4</f>
        <v/>
      </c>
      <c r="G36">
        <f>Cohort!G35*Scenarios!$E$4</f>
        <v/>
      </c>
      <c r="H36">
        <f>C36*Scenarios!$E$5</f>
        <v/>
      </c>
      <c r="I36">
        <f>L35*(1-D36)+H36</f>
        <v/>
      </c>
      <c r="J36">
        <f>MIN(Inputs!$C$25,I36)</f>
        <v/>
      </c>
      <c r="K36">
        <f>IF(A36&lt;Inputs!$C$17,0,Inputs!$C$16*(I36-J36))</f>
        <v/>
      </c>
      <c r="L36">
        <f>I36-J36-K36</f>
        <v/>
      </c>
      <c r="M36">
        <f>K36*Inputs!$C$18</f>
        <v/>
      </c>
      <c r="N36">
        <f>Q35*(1-D36)+H36</f>
        <v/>
      </c>
      <c r="O36">
        <f>IF(A36&lt;Inputs!$C$17,MIN(Inputs!$C$25,N36),0)</f>
        <v/>
      </c>
      <c r="P36">
        <f>IF(A36&lt;Inputs!$C$17,0,MIN(Inputs!$C$25,N36)+Inputs!$C$16*(N36-MIN(Inputs!$C$25,N36)))</f>
        <v/>
      </c>
      <c r="Q36">
        <f>N36-O36-P36</f>
        <v/>
      </c>
      <c r="R36">
        <f>P36*Inputs!$C$18</f>
        <v/>
      </c>
      <c r="S36">
        <f>Cohort!H35</f>
        <v/>
      </c>
      <c r="T36">
        <f>B36/S36</f>
        <v/>
      </c>
    </row>
    <row r="37">
      <c r="A37" t="n">
        <v>2034</v>
      </c>
      <c r="B37">
        <f>Cohort!B36*Scenarios!$E$4</f>
        <v/>
      </c>
      <c r="C37">
        <f>Cohort!C36*Scenarios!$E$4</f>
        <v/>
      </c>
      <c r="D37">
        <f>Cohort!D36</f>
        <v/>
      </c>
      <c r="E37">
        <f>Cohort!E36*Scenarios!$E$4</f>
        <v/>
      </c>
      <c r="F37">
        <f>Cohort!F36*Scenarios!$E$4</f>
        <v/>
      </c>
      <c r="G37">
        <f>Cohort!G36*Scenarios!$E$4</f>
        <v/>
      </c>
      <c r="H37">
        <f>C37*Scenarios!$E$5</f>
        <v/>
      </c>
      <c r="I37">
        <f>L36*(1-D37)+H37</f>
        <v/>
      </c>
      <c r="J37">
        <f>MIN(Inputs!$C$25,I37)</f>
        <v/>
      </c>
      <c r="K37">
        <f>IF(A37&lt;Inputs!$C$17,0,Inputs!$C$16*(I37-J37))</f>
        <v/>
      </c>
      <c r="L37">
        <f>I37-J37-K37</f>
        <v/>
      </c>
      <c r="M37">
        <f>K37*Inputs!$C$18</f>
        <v/>
      </c>
      <c r="N37">
        <f>Q36*(1-D37)+H37</f>
        <v/>
      </c>
      <c r="O37">
        <f>IF(A37&lt;Inputs!$C$17,MIN(Inputs!$C$25,N37),0)</f>
        <v/>
      </c>
      <c r="P37">
        <f>IF(A37&lt;Inputs!$C$17,0,MIN(Inputs!$C$25,N37)+Inputs!$C$16*(N37-MIN(Inputs!$C$25,N37)))</f>
        <v/>
      </c>
      <c r="Q37">
        <f>N37-O37-P37</f>
        <v/>
      </c>
      <c r="R37">
        <f>P37*Inputs!$C$18</f>
        <v/>
      </c>
      <c r="S37">
        <f>Cohort!H36</f>
        <v/>
      </c>
      <c r="T37">
        <f>B37/S37</f>
        <v/>
      </c>
    </row>
    <row r="38">
      <c r="A38" t="n">
        <v>2035</v>
      </c>
      <c r="B38">
        <f>Cohort!B37*Scenarios!$E$4</f>
        <v/>
      </c>
      <c r="C38">
        <f>Cohort!C37*Scenarios!$E$4</f>
        <v/>
      </c>
      <c r="D38">
        <f>Cohort!D37</f>
        <v/>
      </c>
      <c r="E38">
        <f>Cohort!E37*Scenarios!$E$4</f>
        <v/>
      </c>
      <c r="F38">
        <f>Cohort!F37*Scenarios!$E$4</f>
        <v/>
      </c>
      <c r="G38">
        <f>Cohort!G37*Scenarios!$E$4</f>
        <v/>
      </c>
      <c r="H38">
        <f>C38*Scenarios!$E$5</f>
        <v/>
      </c>
      <c r="I38">
        <f>L37*(1-D38)+H38</f>
        <v/>
      </c>
      <c r="J38">
        <f>MIN(Inputs!$C$25,I38)</f>
        <v/>
      </c>
      <c r="K38">
        <f>IF(A38&lt;Inputs!$C$17,0,Inputs!$C$16*(I38-J38))</f>
        <v/>
      </c>
      <c r="L38">
        <f>I38-J38-K38</f>
        <v/>
      </c>
      <c r="M38">
        <f>K38*Inputs!$C$18</f>
        <v/>
      </c>
      <c r="N38">
        <f>Q37*(1-D38)+H38</f>
        <v/>
      </c>
      <c r="O38">
        <f>IF(A38&lt;Inputs!$C$17,MIN(Inputs!$C$25,N38),0)</f>
        <v/>
      </c>
      <c r="P38">
        <f>IF(A38&lt;Inputs!$C$17,0,MIN(Inputs!$C$25,N38)+Inputs!$C$16*(N38-MIN(Inputs!$C$25,N38)))</f>
        <v/>
      </c>
      <c r="Q38">
        <f>N38-O38-P38</f>
        <v/>
      </c>
      <c r="R38">
        <f>P38*Inputs!$C$18</f>
        <v/>
      </c>
      <c r="S38">
        <f>Cohort!H37</f>
        <v/>
      </c>
      <c r="T38">
        <f>B38/S38</f>
        <v/>
      </c>
    </row>
    <row r="39">
      <c r="A39" t="n">
        <v>2036</v>
      </c>
      <c r="B39">
        <f>Cohort!B38*Scenarios!$E$4</f>
        <v/>
      </c>
      <c r="C39">
        <f>Cohort!C38*Scenarios!$E$4</f>
        <v/>
      </c>
      <c r="D39">
        <f>Cohort!D38</f>
        <v/>
      </c>
      <c r="E39">
        <f>Cohort!E38*Scenarios!$E$4</f>
        <v/>
      </c>
      <c r="F39">
        <f>Cohort!F38*Scenarios!$E$4</f>
        <v/>
      </c>
      <c r="G39">
        <f>Cohort!G38*Scenarios!$E$4</f>
        <v/>
      </c>
      <c r="H39">
        <f>C39*Scenarios!$E$5</f>
        <v/>
      </c>
      <c r="I39">
        <f>L38*(1-D39)+H39</f>
        <v/>
      </c>
      <c r="J39">
        <f>MIN(Inputs!$C$25,I39)</f>
        <v/>
      </c>
      <c r="K39">
        <f>IF(A39&lt;Inputs!$C$17,0,Inputs!$C$16*(I39-J39))</f>
        <v/>
      </c>
      <c r="L39">
        <f>I39-J39-K39</f>
        <v/>
      </c>
      <c r="M39">
        <f>K39*Inputs!$C$18</f>
        <v/>
      </c>
      <c r="N39">
        <f>Q38*(1-D39)+H39</f>
        <v/>
      </c>
      <c r="O39">
        <f>IF(A39&lt;Inputs!$C$17,MIN(Inputs!$C$25,N39),0)</f>
        <v/>
      </c>
      <c r="P39">
        <f>IF(A39&lt;Inputs!$C$17,0,MIN(Inputs!$C$25,N39)+Inputs!$C$16*(N39-MIN(Inputs!$C$25,N39)))</f>
        <v/>
      </c>
      <c r="Q39">
        <f>N39-O39-P39</f>
        <v/>
      </c>
      <c r="R39">
        <f>P39*Inputs!$C$18</f>
        <v/>
      </c>
      <c r="S39">
        <f>Cohort!H38</f>
        <v/>
      </c>
      <c r="T39">
        <f>B39/S39</f>
        <v/>
      </c>
    </row>
    <row r="40">
      <c r="A40" t="n">
        <v>2037</v>
      </c>
      <c r="B40">
        <f>Cohort!B39*Scenarios!$E$4</f>
        <v/>
      </c>
      <c r="C40">
        <f>Cohort!C39*Scenarios!$E$4</f>
        <v/>
      </c>
      <c r="D40">
        <f>Cohort!D39</f>
        <v/>
      </c>
      <c r="E40">
        <f>Cohort!E39*Scenarios!$E$4</f>
        <v/>
      </c>
      <c r="F40">
        <f>Cohort!F39*Scenarios!$E$4</f>
        <v/>
      </c>
      <c r="G40">
        <f>Cohort!G39*Scenarios!$E$4</f>
        <v/>
      </c>
      <c r="H40">
        <f>C40*Scenarios!$E$5</f>
        <v/>
      </c>
      <c r="I40">
        <f>L39*(1-D40)+H40</f>
        <v/>
      </c>
      <c r="J40">
        <f>MIN(Inputs!$C$25,I40)</f>
        <v/>
      </c>
      <c r="K40">
        <f>IF(A40&lt;Inputs!$C$17,0,Inputs!$C$16*(I40-J40))</f>
        <v/>
      </c>
      <c r="L40">
        <f>I40-J40-K40</f>
        <v/>
      </c>
      <c r="M40">
        <f>K40*Inputs!$C$18</f>
        <v/>
      </c>
      <c r="N40">
        <f>Q39*(1-D40)+H40</f>
        <v/>
      </c>
      <c r="O40">
        <f>IF(A40&lt;Inputs!$C$17,MIN(Inputs!$C$25,N40),0)</f>
        <v/>
      </c>
      <c r="P40">
        <f>IF(A40&lt;Inputs!$C$17,0,MIN(Inputs!$C$25,N40)+Inputs!$C$16*(N40-MIN(Inputs!$C$25,N40)))</f>
        <v/>
      </c>
      <c r="Q40">
        <f>N40-O40-P40</f>
        <v/>
      </c>
      <c r="R40">
        <f>P40*Inputs!$C$18</f>
        <v/>
      </c>
      <c r="S40">
        <f>Cohort!H39</f>
        <v/>
      </c>
      <c r="T40">
        <f>B40/S40</f>
        <v/>
      </c>
    </row>
    <row r="41">
      <c r="A41" t="n">
        <v>2038</v>
      </c>
      <c r="B41">
        <f>Cohort!B40*Scenarios!$E$4</f>
        <v/>
      </c>
      <c r="C41">
        <f>Cohort!C40*Scenarios!$E$4</f>
        <v/>
      </c>
      <c r="D41">
        <f>Cohort!D40</f>
        <v/>
      </c>
      <c r="E41">
        <f>Cohort!E40*Scenarios!$E$4</f>
        <v/>
      </c>
      <c r="F41">
        <f>Cohort!F40*Scenarios!$E$4</f>
        <v/>
      </c>
      <c r="G41">
        <f>Cohort!G40*Scenarios!$E$4</f>
        <v/>
      </c>
      <c r="H41">
        <f>C41*Scenarios!$E$5</f>
        <v/>
      </c>
      <c r="I41">
        <f>L40*(1-D41)+H41</f>
        <v/>
      </c>
      <c r="J41">
        <f>MIN(Inputs!$C$25,I41)</f>
        <v/>
      </c>
      <c r="K41">
        <f>IF(A41&lt;Inputs!$C$17,0,Inputs!$C$16*(I41-J41))</f>
        <v/>
      </c>
      <c r="L41">
        <f>I41-J41-K41</f>
        <v/>
      </c>
      <c r="M41">
        <f>K41*Inputs!$C$18</f>
        <v/>
      </c>
      <c r="N41">
        <f>Q40*(1-D41)+H41</f>
        <v/>
      </c>
      <c r="O41">
        <f>IF(A41&lt;Inputs!$C$17,MIN(Inputs!$C$25,N41),0)</f>
        <v/>
      </c>
      <c r="P41">
        <f>IF(A41&lt;Inputs!$C$17,0,MIN(Inputs!$C$25,N41)+Inputs!$C$16*(N41-MIN(Inputs!$C$25,N41)))</f>
        <v/>
      </c>
      <c r="Q41">
        <f>N41-O41-P41</f>
        <v/>
      </c>
      <c r="R41">
        <f>P41*Inputs!$C$18</f>
        <v/>
      </c>
      <c r="S41">
        <f>Cohort!H40</f>
        <v/>
      </c>
      <c r="T41">
        <f>B41/S41</f>
        <v/>
      </c>
    </row>
    <row r="42">
      <c r="A42" t="n">
        <v>2039</v>
      </c>
      <c r="B42">
        <f>Cohort!B41*Scenarios!$E$4</f>
        <v/>
      </c>
      <c r="C42">
        <f>Cohort!C41*Scenarios!$E$4</f>
        <v/>
      </c>
      <c r="D42">
        <f>Cohort!D41</f>
        <v/>
      </c>
      <c r="E42">
        <f>Cohort!E41*Scenarios!$E$4</f>
        <v/>
      </c>
      <c r="F42">
        <f>Cohort!F41*Scenarios!$E$4</f>
        <v/>
      </c>
      <c r="G42">
        <f>Cohort!G41*Scenarios!$E$4</f>
        <v/>
      </c>
      <c r="H42">
        <f>C42*Scenarios!$E$5</f>
        <v/>
      </c>
      <c r="I42">
        <f>L41*(1-D42)+H42</f>
        <v/>
      </c>
      <c r="J42">
        <f>MIN(Inputs!$C$25,I42)</f>
        <v/>
      </c>
      <c r="K42">
        <f>IF(A42&lt;Inputs!$C$17,0,Inputs!$C$16*(I42-J42))</f>
        <v/>
      </c>
      <c r="L42">
        <f>I42-J42-K42</f>
        <v/>
      </c>
      <c r="M42">
        <f>K42*Inputs!$C$18</f>
        <v/>
      </c>
      <c r="N42">
        <f>Q41*(1-D42)+H42</f>
        <v/>
      </c>
      <c r="O42">
        <f>IF(A42&lt;Inputs!$C$17,MIN(Inputs!$C$25,N42),0)</f>
        <v/>
      </c>
      <c r="P42">
        <f>IF(A42&lt;Inputs!$C$17,0,MIN(Inputs!$C$25,N42)+Inputs!$C$16*(N42-MIN(Inputs!$C$25,N42)))</f>
        <v/>
      </c>
      <c r="Q42">
        <f>N42-O42-P42</f>
        <v/>
      </c>
      <c r="R42">
        <f>P42*Inputs!$C$18</f>
        <v/>
      </c>
      <c r="S42">
        <f>Cohort!H41</f>
        <v/>
      </c>
      <c r="T42">
        <f>B42/S42</f>
        <v/>
      </c>
    </row>
    <row r="43">
      <c r="A43" t="n">
        <v>2040</v>
      </c>
      <c r="B43">
        <f>Cohort!B42*Scenarios!$E$4</f>
        <v/>
      </c>
      <c r="C43">
        <f>Cohort!C42*Scenarios!$E$4</f>
        <v/>
      </c>
      <c r="D43">
        <f>Cohort!D42</f>
        <v/>
      </c>
      <c r="E43">
        <f>Cohort!E42*Scenarios!$E$4</f>
        <v/>
      </c>
      <c r="F43">
        <f>Cohort!F42*Scenarios!$E$4</f>
        <v/>
      </c>
      <c r="G43">
        <f>Cohort!G42*Scenarios!$E$4</f>
        <v/>
      </c>
      <c r="H43">
        <f>C43*Scenarios!$E$5</f>
        <v/>
      </c>
      <c r="I43">
        <f>L42*(1-D43)+H43</f>
        <v/>
      </c>
      <c r="J43">
        <f>MIN(Inputs!$C$25,I43)</f>
        <v/>
      </c>
      <c r="K43">
        <f>IF(A43&lt;Inputs!$C$17,0,Inputs!$C$16*(I43-J43))</f>
        <v/>
      </c>
      <c r="L43">
        <f>I43-J43-K43</f>
        <v/>
      </c>
      <c r="M43">
        <f>K43*Inputs!$C$18</f>
        <v/>
      </c>
      <c r="N43">
        <f>Q42*(1-D43)+H43</f>
        <v/>
      </c>
      <c r="O43">
        <f>IF(A43&lt;Inputs!$C$17,MIN(Inputs!$C$25,N43),0)</f>
        <v/>
      </c>
      <c r="P43">
        <f>IF(A43&lt;Inputs!$C$17,0,MIN(Inputs!$C$25,N43)+Inputs!$C$16*(N43-MIN(Inputs!$C$25,N43)))</f>
        <v/>
      </c>
      <c r="Q43">
        <f>N43-O43-P43</f>
        <v/>
      </c>
      <c r="R43">
        <f>P43*Inputs!$C$18</f>
        <v/>
      </c>
      <c r="S43">
        <f>Cohort!H42</f>
        <v/>
      </c>
      <c r="T43">
        <f>B43/S43</f>
        <v/>
      </c>
    </row>
    <row r="44">
      <c r="A44" t="n">
        <v>2041</v>
      </c>
      <c r="B44">
        <f>Cohort!B43*Scenarios!$E$4</f>
        <v/>
      </c>
      <c r="C44">
        <f>Cohort!C43*Scenarios!$E$4</f>
        <v/>
      </c>
      <c r="D44">
        <f>Cohort!D43</f>
        <v/>
      </c>
      <c r="E44">
        <f>Cohort!E43*Scenarios!$E$4</f>
        <v/>
      </c>
      <c r="F44">
        <f>Cohort!F43*Scenarios!$E$4</f>
        <v/>
      </c>
      <c r="G44">
        <f>Cohort!G43*Scenarios!$E$4</f>
        <v/>
      </c>
      <c r="H44">
        <f>C44*Scenarios!$E$5</f>
        <v/>
      </c>
      <c r="I44">
        <f>L43*(1-D44)+H44</f>
        <v/>
      </c>
      <c r="J44">
        <f>MIN(Inputs!$C$25,I44)</f>
        <v/>
      </c>
      <c r="K44">
        <f>IF(A44&lt;Inputs!$C$17,0,Inputs!$C$16*(I44-J44))</f>
        <v/>
      </c>
      <c r="L44">
        <f>I44-J44-K44</f>
        <v/>
      </c>
      <c r="M44">
        <f>K44*Inputs!$C$18</f>
        <v/>
      </c>
      <c r="N44">
        <f>Q43*(1-D44)+H44</f>
        <v/>
      </c>
      <c r="O44">
        <f>IF(A44&lt;Inputs!$C$17,MIN(Inputs!$C$25,N44),0)</f>
        <v/>
      </c>
      <c r="P44">
        <f>IF(A44&lt;Inputs!$C$17,0,MIN(Inputs!$C$25,N44)+Inputs!$C$16*(N44-MIN(Inputs!$C$25,N44)))</f>
        <v/>
      </c>
      <c r="Q44">
        <f>N44-O44-P44</f>
        <v/>
      </c>
      <c r="R44">
        <f>P44*Inputs!$C$18</f>
        <v/>
      </c>
      <c r="S44">
        <f>Cohort!H43</f>
        <v/>
      </c>
      <c r="T44">
        <f>B44/S44</f>
        <v/>
      </c>
    </row>
    <row r="45">
      <c r="A45" t="n">
        <v>2042</v>
      </c>
      <c r="B45">
        <f>Cohort!B44*Scenarios!$E$4</f>
        <v/>
      </c>
      <c r="C45">
        <f>Cohort!C44*Scenarios!$E$4</f>
        <v/>
      </c>
      <c r="D45">
        <f>Cohort!D44</f>
        <v/>
      </c>
      <c r="E45">
        <f>Cohort!E44*Scenarios!$E$4</f>
        <v/>
      </c>
      <c r="F45">
        <f>Cohort!F44*Scenarios!$E$4</f>
        <v/>
      </c>
      <c r="G45">
        <f>Cohort!G44*Scenarios!$E$4</f>
        <v/>
      </c>
      <c r="H45">
        <f>C45*Scenarios!$E$5</f>
        <v/>
      </c>
      <c r="I45">
        <f>L44*(1-D45)+H45</f>
        <v/>
      </c>
      <c r="J45">
        <f>MIN(Inputs!$C$25,I45)</f>
        <v/>
      </c>
      <c r="K45">
        <f>IF(A45&lt;Inputs!$C$17,0,Inputs!$C$16*(I45-J45))</f>
        <v/>
      </c>
      <c r="L45">
        <f>I45-J45-K45</f>
        <v/>
      </c>
      <c r="M45">
        <f>K45*Inputs!$C$18</f>
        <v/>
      </c>
      <c r="N45">
        <f>Q44*(1-D45)+H45</f>
        <v/>
      </c>
      <c r="O45">
        <f>IF(A45&lt;Inputs!$C$17,MIN(Inputs!$C$25,N45),0)</f>
        <v/>
      </c>
      <c r="P45">
        <f>IF(A45&lt;Inputs!$C$17,0,MIN(Inputs!$C$25,N45)+Inputs!$C$16*(N45-MIN(Inputs!$C$25,N45)))</f>
        <v/>
      </c>
      <c r="Q45">
        <f>N45-O45-P45</f>
        <v/>
      </c>
      <c r="R45">
        <f>P45*Inputs!$C$18</f>
        <v/>
      </c>
      <c r="S45">
        <f>Cohort!H44</f>
        <v/>
      </c>
      <c r="T45">
        <f>B45/S45</f>
        <v/>
      </c>
    </row>
    <row r="46">
      <c r="A46" t="n">
        <v>2043</v>
      </c>
      <c r="B46">
        <f>Cohort!B45*Scenarios!$E$4</f>
        <v/>
      </c>
      <c r="C46">
        <f>Cohort!C45*Scenarios!$E$4</f>
        <v/>
      </c>
      <c r="D46">
        <f>Cohort!D45</f>
        <v/>
      </c>
      <c r="E46">
        <f>Cohort!E45*Scenarios!$E$4</f>
        <v/>
      </c>
      <c r="F46">
        <f>Cohort!F45*Scenarios!$E$4</f>
        <v/>
      </c>
      <c r="G46">
        <f>Cohort!G45*Scenarios!$E$4</f>
        <v/>
      </c>
      <c r="H46">
        <f>C46*Scenarios!$E$5</f>
        <v/>
      </c>
      <c r="I46">
        <f>L45*(1-D46)+H46</f>
        <v/>
      </c>
      <c r="J46">
        <f>MIN(Inputs!$C$25,I46)</f>
        <v/>
      </c>
      <c r="K46">
        <f>IF(A46&lt;Inputs!$C$17,0,Inputs!$C$16*(I46-J46))</f>
        <v/>
      </c>
      <c r="L46">
        <f>I46-J46-K46</f>
        <v/>
      </c>
      <c r="M46">
        <f>K46*Inputs!$C$18</f>
        <v/>
      </c>
      <c r="N46">
        <f>Q45*(1-D46)+H46</f>
        <v/>
      </c>
      <c r="O46">
        <f>IF(A46&lt;Inputs!$C$17,MIN(Inputs!$C$25,N46),0)</f>
        <v/>
      </c>
      <c r="P46">
        <f>IF(A46&lt;Inputs!$C$17,0,MIN(Inputs!$C$25,N46)+Inputs!$C$16*(N46-MIN(Inputs!$C$25,N46)))</f>
        <v/>
      </c>
      <c r="Q46">
        <f>N46-O46-P46</f>
        <v/>
      </c>
      <c r="R46">
        <f>P46*Inputs!$C$18</f>
        <v/>
      </c>
      <c r="S46">
        <f>Cohort!H45</f>
        <v/>
      </c>
      <c r="T46">
        <f>B46/S46</f>
        <v/>
      </c>
    </row>
    <row r="47">
      <c r="A47" t="n">
        <v>2044</v>
      </c>
      <c r="B47">
        <f>Cohort!B46*Scenarios!$E$4</f>
        <v/>
      </c>
      <c r="C47">
        <f>Cohort!C46*Scenarios!$E$4</f>
        <v/>
      </c>
      <c r="D47">
        <f>Cohort!D46</f>
        <v/>
      </c>
      <c r="E47">
        <f>Cohort!E46*Scenarios!$E$4</f>
        <v/>
      </c>
      <c r="F47">
        <f>Cohort!F46*Scenarios!$E$4</f>
        <v/>
      </c>
      <c r="G47">
        <f>Cohort!G46*Scenarios!$E$4</f>
        <v/>
      </c>
      <c r="H47">
        <f>C47*Scenarios!$E$5</f>
        <v/>
      </c>
      <c r="I47">
        <f>L46*(1-D47)+H47</f>
        <v/>
      </c>
      <c r="J47">
        <f>MIN(Inputs!$C$25,I47)</f>
        <v/>
      </c>
      <c r="K47">
        <f>IF(A47&lt;Inputs!$C$17,0,Inputs!$C$16*(I47-J47))</f>
        <v/>
      </c>
      <c r="L47">
        <f>I47-J47-K47</f>
        <v/>
      </c>
      <c r="M47">
        <f>K47*Inputs!$C$18</f>
        <v/>
      </c>
      <c r="N47">
        <f>Q46*(1-D47)+H47</f>
        <v/>
      </c>
      <c r="O47">
        <f>IF(A47&lt;Inputs!$C$17,MIN(Inputs!$C$25,N47),0)</f>
        <v/>
      </c>
      <c r="P47">
        <f>IF(A47&lt;Inputs!$C$17,0,MIN(Inputs!$C$25,N47)+Inputs!$C$16*(N47-MIN(Inputs!$C$25,N47)))</f>
        <v/>
      </c>
      <c r="Q47">
        <f>N47-O47-P47</f>
        <v/>
      </c>
      <c r="R47">
        <f>P47*Inputs!$C$18</f>
        <v/>
      </c>
      <c r="S47">
        <f>Cohort!H46</f>
        <v/>
      </c>
      <c r="T47">
        <f>B47/S47</f>
        <v/>
      </c>
    </row>
    <row r="48">
      <c r="A48" t="n">
        <v>2045</v>
      </c>
      <c r="B48">
        <f>Cohort!B47*Scenarios!$E$4</f>
        <v/>
      </c>
      <c r="C48">
        <f>Cohort!C47*Scenarios!$E$4</f>
        <v/>
      </c>
      <c r="D48">
        <f>Cohort!D47</f>
        <v/>
      </c>
      <c r="E48">
        <f>Cohort!E47*Scenarios!$E$4</f>
        <v/>
      </c>
      <c r="F48">
        <f>Cohort!F47*Scenarios!$E$4</f>
        <v/>
      </c>
      <c r="G48">
        <f>Cohort!G47*Scenarios!$E$4</f>
        <v/>
      </c>
      <c r="H48">
        <f>C48*Scenarios!$E$5</f>
        <v/>
      </c>
      <c r="I48">
        <f>L47*(1-D48)+H48</f>
        <v/>
      </c>
      <c r="J48">
        <f>MIN(Inputs!$C$25,I48)</f>
        <v/>
      </c>
      <c r="K48">
        <f>IF(A48&lt;Inputs!$C$17,0,Inputs!$C$16*(I48-J48))</f>
        <v/>
      </c>
      <c r="L48">
        <f>I48-J48-K48</f>
        <v/>
      </c>
      <c r="M48">
        <f>K48*Inputs!$C$18</f>
        <v/>
      </c>
      <c r="N48">
        <f>Q47*(1-D48)+H48</f>
        <v/>
      </c>
      <c r="O48">
        <f>IF(A48&lt;Inputs!$C$17,MIN(Inputs!$C$25,N48),0)</f>
        <v/>
      </c>
      <c r="P48">
        <f>IF(A48&lt;Inputs!$C$17,0,MIN(Inputs!$C$25,N48)+Inputs!$C$16*(N48-MIN(Inputs!$C$25,N48)))</f>
        <v/>
      </c>
      <c r="Q48">
        <f>N48-O48-P48</f>
        <v/>
      </c>
      <c r="R48">
        <f>P48*Inputs!$C$18</f>
        <v/>
      </c>
      <c r="S48">
        <f>Cohort!H47</f>
        <v/>
      </c>
      <c r="T48">
        <f>B48/S48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3" t="inlineStr">
        <is>
          <t>Eligibility case 15%. Eligible = Cohort × g; funnel inflow = newly eligible × P. Pre-launch DBS = MIN(DBS under cap, pool). After launch: A keeps DBS and the one-time therapy draws kf of the backlog; B replaces DBS (DBS-equivalent volume + kf of backlog). Rows before FY2026 grouped.</t>
        </is>
      </c>
    </row>
    <row r="2">
      <c r="A2" s="1" t="inlineStr">
        <is>
          <t>FY</t>
        </is>
      </c>
      <c r="B2" s="1" t="inlineStr">
        <is>
          <t>Eligible stock</t>
        </is>
      </c>
      <c r="C2" s="1" t="inlineStr">
        <is>
          <t>Newly eligible</t>
        </is>
      </c>
      <c r="D2" s="1" t="inlineStr">
        <is>
          <t>Exit μ</t>
        </is>
      </c>
      <c r="E2" s="1" t="inlineStr">
        <is>
          <t>Deaths</t>
        </is>
      </c>
      <c r="F2" s="1" t="inlineStr">
        <is>
          <t>Dementia</t>
        </is>
      </c>
      <c r="G2" s="1" t="inlineStr">
        <is>
          <t>Aged past cap</t>
        </is>
      </c>
      <c r="H2" s="1" t="inlineStr">
        <is>
          <t>Funnel inflow (×P)</t>
        </is>
      </c>
      <c r="I2" s="1" t="inlineStr">
        <is>
          <t>A: pool available</t>
        </is>
      </c>
      <c r="J2" s="1" t="inlineStr">
        <is>
          <t>A: DBS</t>
        </is>
      </c>
      <c r="K2" s="1" t="inlineStr">
        <is>
          <t>A: one-time</t>
        </is>
      </c>
      <c r="L2" s="1" t="inlineStr">
        <is>
          <t>A: backlog end</t>
        </is>
      </c>
      <c r="M2" s="1" t="inlineStr">
        <is>
          <t>A: $M</t>
        </is>
      </c>
      <c r="N2" s="1" t="inlineStr">
        <is>
          <t>B: pool available</t>
        </is>
      </c>
      <c r="O2" s="1" t="inlineStr">
        <is>
          <t>B: DBS</t>
        </is>
      </c>
      <c r="P2" s="1" t="inlineStr">
        <is>
          <t>B: one-time</t>
        </is>
      </c>
      <c r="Q2" s="1" t="inlineStr">
        <is>
          <t>B: backlog end</t>
        </is>
      </c>
      <c r="R2" s="1" t="inlineStr">
        <is>
          <t>B: $M</t>
        </is>
      </c>
      <c r="S2" s="1" t="inlineStr">
        <is>
          <t>PD prevalent</t>
        </is>
      </c>
      <c r="T2" s="1" t="inlineStr">
        <is>
          <t>Eligible % of PD</t>
        </is>
      </c>
    </row>
    <row r="3">
      <c r="A3" t="n">
        <v>2000</v>
      </c>
      <c r="L3" t="n">
        <v>0</v>
      </c>
      <c r="Q3" t="n">
        <v>0</v>
      </c>
    </row>
    <row r="4" hidden="1" outlineLevel="1">
      <c r="A4" t="n">
        <v>2001</v>
      </c>
      <c r="B4">
        <f>Cohort!B3*Scenarios!$F$4</f>
        <v/>
      </c>
      <c r="C4">
        <f>Cohort!C3*Scenarios!$F$4</f>
        <v/>
      </c>
      <c r="D4">
        <f>Cohort!D3</f>
        <v/>
      </c>
      <c r="E4">
        <f>Cohort!E3*Scenarios!$F$4</f>
        <v/>
      </c>
      <c r="F4">
        <f>Cohort!F3*Scenarios!$F$4</f>
        <v/>
      </c>
      <c r="G4">
        <f>Cohort!G3*Scenarios!$F$4</f>
        <v/>
      </c>
      <c r="H4">
        <f>C4*Scenarios!$F$5</f>
        <v/>
      </c>
      <c r="I4">
        <f>L3*(1-D4)+H4</f>
        <v/>
      </c>
      <c r="J4">
        <f>MIN(Inputs!$C$25,I4)</f>
        <v/>
      </c>
      <c r="K4">
        <f>IF(A4&lt;Inputs!$C$17,0,Inputs!$C$16*(I4-J4))</f>
        <v/>
      </c>
      <c r="L4">
        <f>I4-J4-K4</f>
        <v/>
      </c>
      <c r="M4">
        <f>K4*Inputs!$C$18</f>
        <v/>
      </c>
      <c r="N4">
        <f>Q3*(1-D4)+H4</f>
        <v/>
      </c>
      <c r="O4">
        <f>IF(A4&lt;Inputs!$C$17,MIN(Inputs!$C$25,N4),0)</f>
        <v/>
      </c>
      <c r="P4">
        <f>IF(A4&lt;Inputs!$C$17,0,MIN(Inputs!$C$25,N4)+Inputs!$C$16*(N4-MIN(Inputs!$C$25,N4)))</f>
        <v/>
      </c>
      <c r="Q4">
        <f>N4-O4-P4</f>
        <v/>
      </c>
      <c r="R4">
        <f>P4*Inputs!$C$18</f>
        <v/>
      </c>
      <c r="S4">
        <f>Cohort!H3</f>
        <v/>
      </c>
      <c r="T4">
        <f>B4/S4</f>
        <v/>
      </c>
    </row>
    <row r="5" hidden="1" outlineLevel="1">
      <c r="A5" t="n">
        <v>2002</v>
      </c>
      <c r="B5">
        <f>Cohort!B4*Scenarios!$F$4</f>
        <v/>
      </c>
      <c r="C5">
        <f>Cohort!C4*Scenarios!$F$4</f>
        <v/>
      </c>
      <c r="D5">
        <f>Cohort!D4</f>
        <v/>
      </c>
      <c r="E5">
        <f>Cohort!E4*Scenarios!$F$4</f>
        <v/>
      </c>
      <c r="F5">
        <f>Cohort!F4*Scenarios!$F$4</f>
        <v/>
      </c>
      <c r="G5">
        <f>Cohort!G4*Scenarios!$F$4</f>
        <v/>
      </c>
      <c r="H5">
        <f>C5*Scenarios!$F$5</f>
        <v/>
      </c>
      <c r="I5">
        <f>L4*(1-D5)+H5</f>
        <v/>
      </c>
      <c r="J5">
        <f>MIN(Inputs!$C$25,I5)</f>
        <v/>
      </c>
      <c r="K5">
        <f>IF(A5&lt;Inputs!$C$17,0,Inputs!$C$16*(I5-J5))</f>
        <v/>
      </c>
      <c r="L5">
        <f>I5-J5-K5</f>
        <v/>
      </c>
      <c r="M5">
        <f>K5*Inputs!$C$18</f>
        <v/>
      </c>
      <c r="N5">
        <f>Q4*(1-D5)+H5</f>
        <v/>
      </c>
      <c r="O5">
        <f>IF(A5&lt;Inputs!$C$17,MIN(Inputs!$C$25,N5),0)</f>
        <v/>
      </c>
      <c r="P5">
        <f>IF(A5&lt;Inputs!$C$17,0,MIN(Inputs!$C$25,N5)+Inputs!$C$16*(N5-MIN(Inputs!$C$25,N5)))</f>
        <v/>
      </c>
      <c r="Q5">
        <f>N5-O5-P5</f>
        <v/>
      </c>
      <c r="R5">
        <f>P5*Inputs!$C$18</f>
        <v/>
      </c>
      <c r="S5">
        <f>Cohort!H4</f>
        <v/>
      </c>
      <c r="T5">
        <f>B5/S5</f>
        <v/>
      </c>
    </row>
    <row r="6" hidden="1" outlineLevel="1">
      <c r="A6" t="n">
        <v>2003</v>
      </c>
      <c r="B6">
        <f>Cohort!B5*Scenarios!$F$4</f>
        <v/>
      </c>
      <c r="C6">
        <f>Cohort!C5*Scenarios!$F$4</f>
        <v/>
      </c>
      <c r="D6">
        <f>Cohort!D5</f>
        <v/>
      </c>
      <c r="E6">
        <f>Cohort!E5*Scenarios!$F$4</f>
        <v/>
      </c>
      <c r="F6">
        <f>Cohort!F5*Scenarios!$F$4</f>
        <v/>
      </c>
      <c r="G6">
        <f>Cohort!G5*Scenarios!$F$4</f>
        <v/>
      </c>
      <c r="H6">
        <f>C6*Scenarios!$F$5</f>
        <v/>
      </c>
      <c r="I6">
        <f>L5*(1-D6)+H6</f>
        <v/>
      </c>
      <c r="J6">
        <f>MIN(Inputs!$C$25,I6)</f>
        <v/>
      </c>
      <c r="K6">
        <f>IF(A6&lt;Inputs!$C$17,0,Inputs!$C$16*(I6-J6))</f>
        <v/>
      </c>
      <c r="L6">
        <f>I6-J6-K6</f>
        <v/>
      </c>
      <c r="M6">
        <f>K6*Inputs!$C$18</f>
        <v/>
      </c>
      <c r="N6">
        <f>Q5*(1-D6)+H6</f>
        <v/>
      </c>
      <c r="O6">
        <f>IF(A6&lt;Inputs!$C$17,MIN(Inputs!$C$25,N6),0)</f>
        <v/>
      </c>
      <c r="P6">
        <f>IF(A6&lt;Inputs!$C$17,0,MIN(Inputs!$C$25,N6)+Inputs!$C$16*(N6-MIN(Inputs!$C$25,N6)))</f>
        <v/>
      </c>
      <c r="Q6">
        <f>N6-O6-P6</f>
        <v/>
      </c>
      <c r="R6">
        <f>P6*Inputs!$C$18</f>
        <v/>
      </c>
      <c r="S6">
        <f>Cohort!H5</f>
        <v/>
      </c>
      <c r="T6">
        <f>B6/S6</f>
        <v/>
      </c>
    </row>
    <row r="7" hidden="1" outlineLevel="1">
      <c r="A7" t="n">
        <v>2004</v>
      </c>
      <c r="B7">
        <f>Cohort!B6*Scenarios!$F$4</f>
        <v/>
      </c>
      <c r="C7">
        <f>Cohort!C6*Scenarios!$F$4</f>
        <v/>
      </c>
      <c r="D7">
        <f>Cohort!D6</f>
        <v/>
      </c>
      <c r="E7">
        <f>Cohort!E6*Scenarios!$F$4</f>
        <v/>
      </c>
      <c r="F7">
        <f>Cohort!F6*Scenarios!$F$4</f>
        <v/>
      </c>
      <c r="G7">
        <f>Cohort!G6*Scenarios!$F$4</f>
        <v/>
      </c>
      <c r="H7">
        <f>C7*Scenarios!$F$5</f>
        <v/>
      </c>
      <c r="I7">
        <f>L6*(1-D7)+H7</f>
        <v/>
      </c>
      <c r="J7">
        <f>MIN(Inputs!$C$25,I7)</f>
        <v/>
      </c>
      <c r="K7">
        <f>IF(A7&lt;Inputs!$C$17,0,Inputs!$C$16*(I7-J7))</f>
        <v/>
      </c>
      <c r="L7">
        <f>I7-J7-K7</f>
        <v/>
      </c>
      <c r="M7">
        <f>K7*Inputs!$C$18</f>
        <v/>
      </c>
      <c r="N7">
        <f>Q6*(1-D7)+H7</f>
        <v/>
      </c>
      <c r="O7">
        <f>IF(A7&lt;Inputs!$C$17,MIN(Inputs!$C$25,N7),0)</f>
        <v/>
      </c>
      <c r="P7">
        <f>IF(A7&lt;Inputs!$C$17,0,MIN(Inputs!$C$25,N7)+Inputs!$C$16*(N7-MIN(Inputs!$C$25,N7)))</f>
        <v/>
      </c>
      <c r="Q7">
        <f>N7-O7-P7</f>
        <v/>
      </c>
      <c r="R7">
        <f>P7*Inputs!$C$18</f>
        <v/>
      </c>
      <c r="S7">
        <f>Cohort!H6</f>
        <v/>
      </c>
      <c r="T7">
        <f>B7/S7</f>
        <v/>
      </c>
    </row>
    <row r="8" hidden="1" outlineLevel="1">
      <c r="A8" t="n">
        <v>2005</v>
      </c>
      <c r="B8">
        <f>Cohort!B7*Scenarios!$F$4</f>
        <v/>
      </c>
      <c r="C8">
        <f>Cohort!C7*Scenarios!$F$4</f>
        <v/>
      </c>
      <c r="D8">
        <f>Cohort!D7</f>
        <v/>
      </c>
      <c r="E8">
        <f>Cohort!E7*Scenarios!$F$4</f>
        <v/>
      </c>
      <c r="F8">
        <f>Cohort!F7*Scenarios!$F$4</f>
        <v/>
      </c>
      <c r="G8">
        <f>Cohort!G7*Scenarios!$F$4</f>
        <v/>
      </c>
      <c r="H8">
        <f>C8*Scenarios!$F$5</f>
        <v/>
      </c>
      <c r="I8">
        <f>L7*(1-D8)+H8</f>
        <v/>
      </c>
      <c r="J8">
        <f>MIN(Inputs!$C$25,I8)</f>
        <v/>
      </c>
      <c r="K8">
        <f>IF(A8&lt;Inputs!$C$17,0,Inputs!$C$16*(I8-J8))</f>
        <v/>
      </c>
      <c r="L8">
        <f>I8-J8-K8</f>
        <v/>
      </c>
      <c r="M8">
        <f>K8*Inputs!$C$18</f>
        <v/>
      </c>
      <c r="N8">
        <f>Q7*(1-D8)+H8</f>
        <v/>
      </c>
      <c r="O8">
        <f>IF(A8&lt;Inputs!$C$17,MIN(Inputs!$C$25,N8),0)</f>
        <v/>
      </c>
      <c r="P8">
        <f>IF(A8&lt;Inputs!$C$17,0,MIN(Inputs!$C$25,N8)+Inputs!$C$16*(N8-MIN(Inputs!$C$25,N8)))</f>
        <v/>
      </c>
      <c r="Q8">
        <f>N8-O8-P8</f>
        <v/>
      </c>
      <c r="R8">
        <f>P8*Inputs!$C$18</f>
        <v/>
      </c>
      <c r="S8">
        <f>Cohort!H7</f>
        <v/>
      </c>
      <c r="T8">
        <f>B8/S8</f>
        <v/>
      </c>
    </row>
    <row r="9" hidden="1" outlineLevel="1">
      <c r="A9" t="n">
        <v>2006</v>
      </c>
      <c r="B9">
        <f>Cohort!B8*Scenarios!$F$4</f>
        <v/>
      </c>
      <c r="C9">
        <f>Cohort!C8*Scenarios!$F$4</f>
        <v/>
      </c>
      <c r="D9">
        <f>Cohort!D8</f>
        <v/>
      </c>
      <c r="E9">
        <f>Cohort!E8*Scenarios!$F$4</f>
        <v/>
      </c>
      <c r="F9">
        <f>Cohort!F8*Scenarios!$F$4</f>
        <v/>
      </c>
      <c r="G9">
        <f>Cohort!G8*Scenarios!$F$4</f>
        <v/>
      </c>
      <c r="H9">
        <f>C9*Scenarios!$F$5</f>
        <v/>
      </c>
      <c r="I9">
        <f>L8*(1-D9)+H9</f>
        <v/>
      </c>
      <c r="J9">
        <f>MIN(Inputs!$C$25,I9)</f>
        <v/>
      </c>
      <c r="K9">
        <f>IF(A9&lt;Inputs!$C$17,0,Inputs!$C$16*(I9-J9))</f>
        <v/>
      </c>
      <c r="L9">
        <f>I9-J9-K9</f>
        <v/>
      </c>
      <c r="M9">
        <f>K9*Inputs!$C$18</f>
        <v/>
      </c>
      <c r="N9">
        <f>Q8*(1-D9)+H9</f>
        <v/>
      </c>
      <c r="O9">
        <f>IF(A9&lt;Inputs!$C$17,MIN(Inputs!$C$25,N9),0)</f>
        <v/>
      </c>
      <c r="P9">
        <f>IF(A9&lt;Inputs!$C$17,0,MIN(Inputs!$C$25,N9)+Inputs!$C$16*(N9-MIN(Inputs!$C$25,N9)))</f>
        <v/>
      </c>
      <c r="Q9">
        <f>N9-O9-P9</f>
        <v/>
      </c>
      <c r="R9">
        <f>P9*Inputs!$C$18</f>
        <v/>
      </c>
      <c r="S9">
        <f>Cohort!H8</f>
        <v/>
      </c>
      <c r="T9">
        <f>B9/S9</f>
        <v/>
      </c>
    </row>
    <row r="10" hidden="1" outlineLevel="1">
      <c r="A10" t="n">
        <v>2007</v>
      </c>
      <c r="B10">
        <f>Cohort!B9*Scenarios!$F$4</f>
        <v/>
      </c>
      <c r="C10">
        <f>Cohort!C9*Scenarios!$F$4</f>
        <v/>
      </c>
      <c r="D10">
        <f>Cohort!D9</f>
        <v/>
      </c>
      <c r="E10">
        <f>Cohort!E9*Scenarios!$F$4</f>
        <v/>
      </c>
      <c r="F10">
        <f>Cohort!F9*Scenarios!$F$4</f>
        <v/>
      </c>
      <c r="G10">
        <f>Cohort!G9*Scenarios!$F$4</f>
        <v/>
      </c>
      <c r="H10">
        <f>C10*Scenarios!$F$5</f>
        <v/>
      </c>
      <c r="I10">
        <f>L9*(1-D10)+H10</f>
        <v/>
      </c>
      <c r="J10">
        <f>MIN(Inputs!$C$25,I10)</f>
        <v/>
      </c>
      <c r="K10">
        <f>IF(A10&lt;Inputs!$C$17,0,Inputs!$C$16*(I10-J10))</f>
        <v/>
      </c>
      <c r="L10">
        <f>I10-J10-K10</f>
        <v/>
      </c>
      <c r="M10">
        <f>K10*Inputs!$C$18</f>
        <v/>
      </c>
      <c r="N10">
        <f>Q9*(1-D10)+H10</f>
        <v/>
      </c>
      <c r="O10">
        <f>IF(A10&lt;Inputs!$C$17,MIN(Inputs!$C$25,N10),0)</f>
        <v/>
      </c>
      <c r="P10">
        <f>IF(A10&lt;Inputs!$C$17,0,MIN(Inputs!$C$25,N10)+Inputs!$C$16*(N10-MIN(Inputs!$C$25,N10)))</f>
        <v/>
      </c>
      <c r="Q10">
        <f>N10-O10-P10</f>
        <v/>
      </c>
      <c r="R10">
        <f>P10*Inputs!$C$18</f>
        <v/>
      </c>
      <c r="S10">
        <f>Cohort!H9</f>
        <v/>
      </c>
      <c r="T10">
        <f>B10/S10</f>
        <v/>
      </c>
    </row>
    <row r="11" hidden="1" outlineLevel="1">
      <c r="A11" t="n">
        <v>2008</v>
      </c>
      <c r="B11">
        <f>Cohort!B10*Scenarios!$F$4</f>
        <v/>
      </c>
      <c r="C11">
        <f>Cohort!C10*Scenarios!$F$4</f>
        <v/>
      </c>
      <c r="D11">
        <f>Cohort!D10</f>
        <v/>
      </c>
      <c r="E11">
        <f>Cohort!E10*Scenarios!$F$4</f>
        <v/>
      </c>
      <c r="F11">
        <f>Cohort!F10*Scenarios!$F$4</f>
        <v/>
      </c>
      <c r="G11">
        <f>Cohort!G10*Scenarios!$F$4</f>
        <v/>
      </c>
      <c r="H11">
        <f>C11*Scenarios!$F$5</f>
        <v/>
      </c>
      <c r="I11">
        <f>L10*(1-D11)+H11</f>
        <v/>
      </c>
      <c r="J11">
        <f>MIN(Inputs!$C$25,I11)</f>
        <v/>
      </c>
      <c r="K11">
        <f>IF(A11&lt;Inputs!$C$17,0,Inputs!$C$16*(I11-J11))</f>
        <v/>
      </c>
      <c r="L11">
        <f>I11-J11-K11</f>
        <v/>
      </c>
      <c r="M11">
        <f>K11*Inputs!$C$18</f>
        <v/>
      </c>
      <c r="N11">
        <f>Q10*(1-D11)+H11</f>
        <v/>
      </c>
      <c r="O11">
        <f>IF(A11&lt;Inputs!$C$17,MIN(Inputs!$C$25,N11),0)</f>
        <v/>
      </c>
      <c r="P11">
        <f>IF(A11&lt;Inputs!$C$17,0,MIN(Inputs!$C$25,N11)+Inputs!$C$16*(N11-MIN(Inputs!$C$25,N11)))</f>
        <v/>
      </c>
      <c r="Q11">
        <f>N11-O11-P11</f>
        <v/>
      </c>
      <c r="R11">
        <f>P11*Inputs!$C$18</f>
        <v/>
      </c>
      <c r="S11">
        <f>Cohort!H10</f>
        <v/>
      </c>
      <c r="T11">
        <f>B11/S11</f>
        <v/>
      </c>
    </row>
    <row r="12" hidden="1" outlineLevel="1">
      <c r="A12" t="n">
        <v>2009</v>
      </c>
      <c r="B12">
        <f>Cohort!B11*Scenarios!$F$4</f>
        <v/>
      </c>
      <c r="C12">
        <f>Cohort!C11*Scenarios!$F$4</f>
        <v/>
      </c>
      <c r="D12">
        <f>Cohort!D11</f>
        <v/>
      </c>
      <c r="E12">
        <f>Cohort!E11*Scenarios!$F$4</f>
        <v/>
      </c>
      <c r="F12">
        <f>Cohort!F11*Scenarios!$F$4</f>
        <v/>
      </c>
      <c r="G12">
        <f>Cohort!G11*Scenarios!$F$4</f>
        <v/>
      </c>
      <c r="H12">
        <f>C12*Scenarios!$F$5</f>
        <v/>
      </c>
      <c r="I12">
        <f>L11*(1-D12)+H12</f>
        <v/>
      </c>
      <c r="J12">
        <f>MIN(Inputs!$C$25,I12)</f>
        <v/>
      </c>
      <c r="K12">
        <f>IF(A12&lt;Inputs!$C$17,0,Inputs!$C$16*(I12-J12))</f>
        <v/>
      </c>
      <c r="L12">
        <f>I12-J12-K12</f>
        <v/>
      </c>
      <c r="M12">
        <f>K12*Inputs!$C$18</f>
        <v/>
      </c>
      <c r="N12">
        <f>Q11*(1-D12)+H12</f>
        <v/>
      </c>
      <c r="O12">
        <f>IF(A12&lt;Inputs!$C$17,MIN(Inputs!$C$25,N12),0)</f>
        <v/>
      </c>
      <c r="P12">
        <f>IF(A12&lt;Inputs!$C$17,0,MIN(Inputs!$C$25,N12)+Inputs!$C$16*(N12-MIN(Inputs!$C$25,N12)))</f>
        <v/>
      </c>
      <c r="Q12">
        <f>N12-O12-P12</f>
        <v/>
      </c>
      <c r="R12">
        <f>P12*Inputs!$C$18</f>
        <v/>
      </c>
      <c r="S12">
        <f>Cohort!H11</f>
        <v/>
      </c>
      <c r="T12">
        <f>B12/S12</f>
        <v/>
      </c>
    </row>
    <row r="13" hidden="1" outlineLevel="1">
      <c r="A13" t="n">
        <v>2010</v>
      </c>
      <c r="B13">
        <f>Cohort!B12*Scenarios!$F$4</f>
        <v/>
      </c>
      <c r="C13">
        <f>Cohort!C12*Scenarios!$F$4</f>
        <v/>
      </c>
      <c r="D13">
        <f>Cohort!D12</f>
        <v/>
      </c>
      <c r="E13">
        <f>Cohort!E12*Scenarios!$F$4</f>
        <v/>
      </c>
      <c r="F13">
        <f>Cohort!F12*Scenarios!$F$4</f>
        <v/>
      </c>
      <c r="G13">
        <f>Cohort!G12*Scenarios!$F$4</f>
        <v/>
      </c>
      <c r="H13">
        <f>C13*Scenarios!$F$5</f>
        <v/>
      </c>
      <c r="I13">
        <f>L12*(1-D13)+H13</f>
        <v/>
      </c>
      <c r="J13">
        <f>MIN(Inputs!$C$25,I13)</f>
        <v/>
      </c>
      <c r="K13">
        <f>IF(A13&lt;Inputs!$C$17,0,Inputs!$C$16*(I13-J13))</f>
        <v/>
      </c>
      <c r="L13">
        <f>I13-J13-K13</f>
        <v/>
      </c>
      <c r="M13">
        <f>K13*Inputs!$C$18</f>
        <v/>
      </c>
      <c r="N13">
        <f>Q12*(1-D13)+H13</f>
        <v/>
      </c>
      <c r="O13">
        <f>IF(A13&lt;Inputs!$C$17,MIN(Inputs!$C$25,N13),0)</f>
        <v/>
      </c>
      <c r="P13">
        <f>IF(A13&lt;Inputs!$C$17,0,MIN(Inputs!$C$25,N13)+Inputs!$C$16*(N13-MIN(Inputs!$C$25,N13)))</f>
        <v/>
      </c>
      <c r="Q13">
        <f>N13-O13-P13</f>
        <v/>
      </c>
      <c r="R13">
        <f>P13*Inputs!$C$18</f>
        <v/>
      </c>
      <c r="S13">
        <f>Cohort!H12</f>
        <v/>
      </c>
      <c r="T13">
        <f>B13/S13</f>
        <v/>
      </c>
    </row>
    <row r="14" hidden="1" outlineLevel="1">
      <c r="A14" t="n">
        <v>2011</v>
      </c>
      <c r="B14">
        <f>Cohort!B13*Scenarios!$F$4</f>
        <v/>
      </c>
      <c r="C14">
        <f>Cohort!C13*Scenarios!$F$4</f>
        <v/>
      </c>
      <c r="D14">
        <f>Cohort!D13</f>
        <v/>
      </c>
      <c r="E14">
        <f>Cohort!E13*Scenarios!$F$4</f>
        <v/>
      </c>
      <c r="F14">
        <f>Cohort!F13*Scenarios!$F$4</f>
        <v/>
      </c>
      <c r="G14">
        <f>Cohort!G13*Scenarios!$F$4</f>
        <v/>
      </c>
      <c r="H14">
        <f>C14*Scenarios!$F$5</f>
        <v/>
      </c>
      <c r="I14">
        <f>L13*(1-D14)+H14</f>
        <v/>
      </c>
      <c r="J14">
        <f>MIN(Inputs!$C$25,I14)</f>
        <v/>
      </c>
      <c r="K14">
        <f>IF(A14&lt;Inputs!$C$17,0,Inputs!$C$16*(I14-J14))</f>
        <v/>
      </c>
      <c r="L14">
        <f>I14-J14-K14</f>
        <v/>
      </c>
      <c r="M14">
        <f>K14*Inputs!$C$18</f>
        <v/>
      </c>
      <c r="N14">
        <f>Q13*(1-D14)+H14</f>
        <v/>
      </c>
      <c r="O14">
        <f>IF(A14&lt;Inputs!$C$17,MIN(Inputs!$C$25,N14),0)</f>
        <v/>
      </c>
      <c r="P14">
        <f>IF(A14&lt;Inputs!$C$17,0,MIN(Inputs!$C$25,N14)+Inputs!$C$16*(N14-MIN(Inputs!$C$25,N14)))</f>
        <v/>
      </c>
      <c r="Q14">
        <f>N14-O14-P14</f>
        <v/>
      </c>
      <c r="R14">
        <f>P14*Inputs!$C$18</f>
        <v/>
      </c>
      <c r="S14">
        <f>Cohort!H13</f>
        <v/>
      </c>
      <c r="T14">
        <f>B14/S14</f>
        <v/>
      </c>
    </row>
    <row r="15" hidden="1" outlineLevel="1">
      <c r="A15" t="n">
        <v>2012</v>
      </c>
      <c r="B15">
        <f>Cohort!B14*Scenarios!$F$4</f>
        <v/>
      </c>
      <c r="C15">
        <f>Cohort!C14*Scenarios!$F$4</f>
        <v/>
      </c>
      <c r="D15">
        <f>Cohort!D14</f>
        <v/>
      </c>
      <c r="E15">
        <f>Cohort!E14*Scenarios!$F$4</f>
        <v/>
      </c>
      <c r="F15">
        <f>Cohort!F14*Scenarios!$F$4</f>
        <v/>
      </c>
      <c r="G15">
        <f>Cohort!G14*Scenarios!$F$4</f>
        <v/>
      </c>
      <c r="H15">
        <f>C15*Scenarios!$F$5</f>
        <v/>
      </c>
      <c r="I15">
        <f>L14*(1-D15)+H15</f>
        <v/>
      </c>
      <c r="J15">
        <f>MIN(Inputs!$C$25,I15)</f>
        <v/>
      </c>
      <c r="K15">
        <f>IF(A15&lt;Inputs!$C$17,0,Inputs!$C$16*(I15-J15))</f>
        <v/>
      </c>
      <c r="L15">
        <f>I15-J15-K15</f>
        <v/>
      </c>
      <c r="M15">
        <f>K15*Inputs!$C$18</f>
        <v/>
      </c>
      <c r="N15">
        <f>Q14*(1-D15)+H15</f>
        <v/>
      </c>
      <c r="O15">
        <f>IF(A15&lt;Inputs!$C$17,MIN(Inputs!$C$25,N15),0)</f>
        <v/>
      </c>
      <c r="P15">
        <f>IF(A15&lt;Inputs!$C$17,0,MIN(Inputs!$C$25,N15)+Inputs!$C$16*(N15-MIN(Inputs!$C$25,N15)))</f>
        <v/>
      </c>
      <c r="Q15">
        <f>N15-O15-P15</f>
        <v/>
      </c>
      <c r="R15">
        <f>P15*Inputs!$C$18</f>
        <v/>
      </c>
      <c r="S15">
        <f>Cohort!H14</f>
        <v/>
      </c>
      <c r="T15">
        <f>B15/S15</f>
        <v/>
      </c>
    </row>
    <row r="16" hidden="1" outlineLevel="1">
      <c r="A16" t="n">
        <v>2013</v>
      </c>
      <c r="B16">
        <f>Cohort!B15*Scenarios!$F$4</f>
        <v/>
      </c>
      <c r="C16">
        <f>Cohort!C15*Scenarios!$F$4</f>
        <v/>
      </c>
      <c r="D16">
        <f>Cohort!D15</f>
        <v/>
      </c>
      <c r="E16">
        <f>Cohort!E15*Scenarios!$F$4</f>
        <v/>
      </c>
      <c r="F16">
        <f>Cohort!F15*Scenarios!$F$4</f>
        <v/>
      </c>
      <c r="G16">
        <f>Cohort!G15*Scenarios!$F$4</f>
        <v/>
      </c>
      <c r="H16">
        <f>C16*Scenarios!$F$5</f>
        <v/>
      </c>
      <c r="I16">
        <f>L15*(1-D16)+H16</f>
        <v/>
      </c>
      <c r="J16">
        <f>MIN(Inputs!$C$25,I16)</f>
        <v/>
      </c>
      <c r="K16">
        <f>IF(A16&lt;Inputs!$C$17,0,Inputs!$C$16*(I16-J16))</f>
        <v/>
      </c>
      <c r="L16">
        <f>I16-J16-K16</f>
        <v/>
      </c>
      <c r="M16">
        <f>K16*Inputs!$C$18</f>
        <v/>
      </c>
      <c r="N16">
        <f>Q15*(1-D16)+H16</f>
        <v/>
      </c>
      <c r="O16">
        <f>IF(A16&lt;Inputs!$C$17,MIN(Inputs!$C$25,N16),0)</f>
        <v/>
      </c>
      <c r="P16">
        <f>IF(A16&lt;Inputs!$C$17,0,MIN(Inputs!$C$25,N16)+Inputs!$C$16*(N16-MIN(Inputs!$C$25,N16)))</f>
        <v/>
      </c>
      <c r="Q16">
        <f>N16-O16-P16</f>
        <v/>
      </c>
      <c r="R16">
        <f>P16*Inputs!$C$18</f>
        <v/>
      </c>
      <c r="S16">
        <f>Cohort!H15</f>
        <v/>
      </c>
      <c r="T16">
        <f>B16/S16</f>
        <v/>
      </c>
    </row>
    <row r="17" hidden="1" outlineLevel="1">
      <c r="A17" t="n">
        <v>2014</v>
      </c>
      <c r="B17">
        <f>Cohort!B16*Scenarios!$F$4</f>
        <v/>
      </c>
      <c r="C17">
        <f>Cohort!C16*Scenarios!$F$4</f>
        <v/>
      </c>
      <c r="D17">
        <f>Cohort!D16</f>
        <v/>
      </c>
      <c r="E17">
        <f>Cohort!E16*Scenarios!$F$4</f>
        <v/>
      </c>
      <c r="F17">
        <f>Cohort!F16*Scenarios!$F$4</f>
        <v/>
      </c>
      <c r="G17">
        <f>Cohort!G16*Scenarios!$F$4</f>
        <v/>
      </c>
      <c r="H17">
        <f>C17*Scenarios!$F$5</f>
        <v/>
      </c>
      <c r="I17">
        <f>L16*(1-D17)+H17</f>
        <v/>
      </c>
      <c r="J17">
        <f>MIN(Inputs!$C$25,I17)</f>
        <v/>
      </c>
      <c r="K17">
        <f>IF(A17&lt;Inputs!$C$17,0,Inputs!$C$16*(I17-J17))</f>
        <v/>
      </c>
      <c r="L17">
        <f>I17-J17-K17</f>
        <v/>
      </c>
      <c r="M17">
        <f>K17*Inputs!$C$18</f>
        <v/>
      </c>
      <c r="N17">
        <f>Q16*(1-D17)+H17</f>
        <v/>
      </c>
      <c r="O17">
        <f>IF(A17&lt;Inputs!$C$17,MIN(Inputs!$C$25,N17),0)</f>
        <v/>
      </c>
      <c r="P17">
        <f>IF(A17&lt;Inputs!$C$17,0,MIN(Inputs!$C$25,N17)+Inputs!$C$16*(N17-MIN(Inputs!$C$25,N17)))</f>
        <v/>
      </c>
      <c r="Q17">
        <f>N17-O17-P17</f>
        <v/>
      </c>
      <c r="R17">
        <f>P17*Inputs!$C$18</f>
        <v/>
      </c>
      <c r="S17">
        <f>Cohort!H16</f>
        <v/>
      </c>
      <c r="T17">
        <f>B17/S17</f>
        <v/>
      </c>
    </row>
    <row r="18" hidden="1" outlineLevel="1">
      <c r="A18" t="n">
        <v>2015</v>
      </c>
      <c r="B18">
        <f>Cohort!B17*Scenarios!$F$4</f>
        <v/>
      </c>
      <c r="C18">
        <f>Cohort!C17*Scenarios!$F$4</f>
        <v/>
      </c>
      <c r="D18">
        <f>Cohort!D17</f>
        <v/>
      </c>
      <c r="E18">
        <f>Cohort!E17*Scenarios!$F$4</f>
        <v/>
      </c>
      <c r="F18">
        <f>Cohort!F17*Scenarios!$F$4</f>
        <v/>
      </c>
      <c r="G18">
        <f>Cohort!G17*Scenarios!$F$4</f>
        <v/>
      </c>
      <c r="H18">
        <f>C18*Scenarios!$F$5</f>
        <v/>
      </c>
      <c r="I18">
        <f>L17*(1-D18)+H18</f>
        <v/>
      </c>
      <c r="J18">
        <f>MIN(Inputs!$C$25,I18)</f>
        <v/>
      </c>
      <c r="K18">
        <f>IF(A18&lt;Inputs!$C$17,0,Inputs!$C$16*(I18-J18))</f>
        <v/>
      </c>
      <c r="L18">
        <f>I18-J18-K18</f>
        <v/>
      </c>
      <c r="M18">
        <f>K18*Inputs!$C$18</f>
        <v/>
      </c>
      <c r="N18">
        <f>Q17*(1-D18)+H18</f>
        <v/>
      </c>
      <c r="O18">
        <f>IF(A18&lt;Inputs!$C$17,MIN(Inputs!$C$25,N18),0)</f>
        <v/>
      </c>
      <c r="P18">
        <f>IF(A18&lt;Inputs!$C$17,0,MIN(Inputs!$C$25,N18)+Inputs!$C$16*(N18-MIN(Inputs!$C$25,N18)))</f>
        <v/>
      </c>
      <c r="Q18">
        <f>N18-O18-P18</f>
        <v/>
      </c>
      <c r="R18">
        <f>P18*Inputs!$C$18</f>
        <v/>
      </c>
      <c r="S18">
        <f>Cohort!H17</f>
        <v/>
      </c>
      <c r="T18">
        <f>B18/S18</f>
        <v/>
      </c>
    </row>
    <row r="19" hidden="1" outlineLevel="1">
      <c r="A19" t="n">
        <v>2016</v>
      </c>
      <c r="B19">
        <f>Cohort!B18*Scenarios!$F$4</f>
        <v/>
      </c>
      <c r="C19">
        <f>Cohort!C18*Scenarios!$F$4</f>
        <v/>
      </c>
      <c r="D19">
        <f>Cohort!D18</f>
        <v/>
      </c>
      <c r="E19">
        <f>Cohort!E18*Scenarios!$F$4</f>
        <v/>
      </c>
      <c r="F19">
        <f>Cohort!F18*Scenarios!$F$4</f>
        <v/>
      </c>
      <c r="G19">
        <f>Cohort!G18*Scenarios!$F$4</f>
        <v/>
      </c>
      <c r="H19">
        <f>C19*Scenarios!$F$5</f>
        <v/>
      </c>
      <c r="I19">
        <f>L18*(1-D19)+H19</f>
        <v/>
      </c>
      <c r="J19">
        <f>MIN(Inputs!$C$25,I19)</f>
        <v/>
      </c>
      <c r="K19">
        <f>IF(A19&lt;Inputs!$C$17,0,Inputs!$C$16*(I19-J19))</f>
        <v/>
      </c>
      <c r="L19">
        <f>I19-J19-K19</f>
        <v/>
      </c>
      <c r="M19">
        <f>K19*Inputs!$C$18</f>
        <v/>
      </c>
      <c r="N19">
        <f>Q18*(1-D19)+H19</f>
        <v/>
      </c>
      <c r="O19">
        <f>IF(A19&lt;Inputs!$C$17,MIN(Inputs!$C$25,N19),0)</f>
        <v/>
      </c>
      <c r="P19">
        <f>IF(A19&lt;Inputs!$C$17,0,MIN(Inputs!$C$25,N19)+Inputs!$C$16*(N19-MIN(Inputs!$C$25,N19)))</f>
        <v/>
      </c>
      <c r="Q19">
        <f>N19-O19-P19</f>
        <v/>
      </c>
      <c r="R19">
        <f>P19*Inputs!$C$18</f>
        <v/>
      </c>
      <c r="S19">
        <f>Cohort!H18</f>
        <v/>
      </c>
      <c r="T19">
        <f>B19/S19</f>
        <v/>
      </c>
    </row>
    <row r="20" hidden="1" outlineLevel="1">
      <c r="A20" t="n">
        <v>2017</v>
      </c>
      <c r="B20">
        <f>Cohort!B19*Scenarios!$F$4</f>
        <v/>
      </c>
      <c r="C20">
        <f>Cohort!C19*Scenarios!$F$4</f>
        <v/>
      </c>
      <c r="D20">
        <f>Cohort!D19</f>
        <v/>
      </c>
      <c r="E20">
        <f>Cohort!E19*Scenarios!$F$4</f>
        <v/>
      </c>
      <c r="F20">
        <f>Cohort!F19*Scenarios!$F$4</f>
        <v/>
      </c>
      <c r="G20">
        <f>Cohort!G19*Scenarios!$F$4</f>
        <v/>
      </c>
      <c r="H20">
        <f>C20*Scenarios!$F$5</f>
        <v/>
      </c>
      <c r="I20">
        <f>L19*(1-D20)+H20</f>
        <v/>
      </c>
      <c r="J20">
        <f>MIN(Inputs!$C$25,I20)</f>
        <v/>
      </c>
      <c r="K20">
        <f>IF(A20&lt;Inputs!$C$17,0,Inputs!$C$16*(I20-J20))</f>
        <v/>
      </c>
      <c r="L20">
        <f>I20-J20-K20</f>
        <v/>
      </c>
      <c r="M20">
        <f>K20*Inputs!$C$18</f>
        <v/>
      </c>
      <c r="N20">
        <f>Q19*(1-D20)+H20</f>
        <v/>
      </c>
      <c r="O20">
        <f>IF(A20&lt;Inputs!$C$17,MIN(Inputs!$C$25,N20),0)</f>
        <v/>
      </c>
      <c r="P20">
        <f>IF(A20&lt;Inputs!$C$17,0,MIN(Inputs!$C$25,N20)+Inputs!$C$16*(N20-MIN(Inputs!$C$25,N20)))</f>
        <v/>
      </c>
      <c r="Q20">
        <f>N20-O20-P20</f>
        <v/>
      </c>
      <c r="R20">
        <f>P20*Inputs!$C$18</f>
        <v/>
      </c>
      <c r="S20">
        <f>Cohort!H19</f>
        <v/>
      </c>
      <c r="T20">
        <f>B20/S20</f>
        <v/>
      </c>
    </row>
    <row r="21" hidden="1" outlineLevel="1">
      <c r="A21" t="n">
        <v>2018</v>
      </c>
      <c r="B21">
        <f>Cohort!B20*Scenarios!$F$4</f>
        <v/>
      </c>
      <c r="C21">
        <f>Cohort!C20*Scenarios!$F$4</f>
        <v/>
      </c>
      <c r="D21">
        <f>Cohort!D20</f>
        <v/>
      </c>
      <c r="E21">
        <f>Cohort!E20*Scenarios!$F$4</f>
        <v/>
      </c>
      <c r="F21">
        <f>Cohort!F20*Scenarios!$F$4</f>
        <v/>
      </c>
      <c r="G21">
        <f>Cohort!G20*Scenarios!$F$4</f>
        <v/>
      </c>
      <c r="H21">
        <f>C21*Scenarios!$F$5</f>
        <v/>
      </c>
      <c r="I21">
        <f>L20*(1-D21)+H21</f>
        <v/>
      </c>
      <c r="J21">
        <f>MIN(Inputs!$C$25,I21)</f>
        <v/>
      </c>
      <c r="K21">
        <f>IF(A21&lt;Inputs!$C$17,0,Inputs!$C$16*(I21-J21))</f>
        <v/>
      </c>
      <c r="L21">
        <f>I21-J21-K21</f>
        <v/>
      </c>
      <c r="M21">
        <f>K21*Inputs!$C$18</f>
        <v/>
      </c>
      <c r="N21">
        <f>Q20*(1-D21)+H21</f>
        <v/>
      </c>
      <c r="O21">
        <f>IF(A21&lt;Inputs!$C$17,MIN(Inputs!$C$25,N21),0)</f>
        <v/>
      </c>
      <c r="P21">
        <f>IF(A21&lt;Inputs!$C$17,0,MIN(Inputs!$C$25,N21)+Inputs!$C$16*(N21-MIN(Inputs!$C$25,N21)))</f>
        <v/>
      </c>
      <c r="Q21">
        <f>N21-O21-P21</f>
        <v/>
      </c>
      <c r="R21">
        <f>P21*Inputs!$C$18</f>
        <v/>
      </c>
      <c r="S21">
        <f>Cohort!H20</f>
        <v/>
      </c>
      <c r="T21">
        <f>B21/S21</f>
        <v/>
      </c>
    </row>
    <row r="22" hidden="1" outlineLevel="1">
      <c r="A22" t="n">
        <v>2019</v>
      </c>
      <c r="B22">
        <f>Cohort!B21*Scenarios!$F$4</f>
        <v/>
      </c>
      <c r="C22">
        <f>Cohort!C21*Scenarios!$F$4</f>
        <v/>
      </c>
      <c r="D22">
        <f>Cohort!D21</f>
        <v/>
      </c>
      <c r="E22">
        <f>Cohort!E21*Scenarios!$F$4</f>
        <v/>
      </c>
      <c r="F22">
        <f>Cohort!F21*Scenarios!$F$4</f>
        <v/>
      </c>
      <c r="G22">
        <f>Cohort!G21*Scenarios!$F$4</f>
        <v/>
      </c>
      <c r="H22">
        <f>C22*Scenarios!$F$5</f>
        <v/>
      </c>
      <c r="I22">
        <f>L21*(1-D22)+H22</f>
        <v/>
      </c>
      <c r="J22">
        <f>MIN(Inputs!$C$25,I22)</f>
        <v/>
      </c>
      <c r="K22">
        <f>IF(A22&lt;Inputs!$C$17,0,Inputs!$C$16*(I22-J22))</f>
        <v/>
      </c>
      <c r="L22">
        <f>I22-J22-K22</f>
        <v/>
      </c>
      <c r="M22">
        <f>K22*Inputs!$C$18</f>
        <v/>
      </c>
      <c r="N22">
        <f>Q21*(1-D22)+H22</f>
        <v/>
      </c>
      <c r="O22">
        <f>IF(A22&lt;Inputs!$C$17,MIN(Inputs!$C$25,N22),0)</f>
        <v/>
      </c>
      <c r="P22">
        <f>IF(A22&lt;Inputs!$C$17,0,MIN(Inputs!$C$25,N22)+Inputs!$C$16*(N22-MIN(Inputs!$C$25,N22)))</f>
        <v/>
      </c>
      <c r="Q22">
        <f>N22-O22-P22</f>
        <v/>
      </c>
      <c r="R22">
        <f>P22*Inputs!$C$18</f>
        <v/>
      </c>
      <c r="S22">
        <f>Cohort!H21</f>
        <v/>
      </c>
      <c r="T22">
        <f>B22/S22</f>
        <v/>
      </c>
    </row>
    <row r="23" hidden="1" outlineLevel="1">
      <c r="A23" t="n">
        <v>2020</v>
      </c>
      <c r="B23">
        <f>Cohort!B22*Scenarios!$F$4</f>
        <v/>
      </c>
      <c r="C23">
        <f>Cohort!C22*Scenarios!$F$4</f>
        <v/>
      </c>
      <c r="D23">
        <f>Cohort!D22</f>
        <v/>
      </c>
      <c r="E23">
        <f>Cohort!E22*Scenarios!$F$4</f>
        <v/>
      </c>
      <c r="F23">
        <f>Cohort!F22*Scenarios!$F$4</f>
        <v/>
      </c>
      <c r="G23">
        <f>Cohort!G22*Scenarios!$F$4</f>
        <v/>
      </c>
      <c r="H23">
        <f>C23*Scenarios!$F$5</f>
        <v/>
      </c>
      <c r="I23">
        <f>L22*(1-D23)+H23</f>
        <v/>
      </c>
      <c r="J23">
        <f>MIN(Inputs!$C$25,I23)</f>
        <v/>
      </c>
      <c r="K23">
        <f>IF(A23&lt;Inputs!$C$17,0,Inputs!$C$16*(I23-J23))</f>
        <v/>
      </c>
      <c r="L23">
        <f>I23-J23-K23</f>
        <v/>
      </c>
      <c r="M23">
        <f>K23*Inputs!$C$18</f>
        <v/>
      </c>
      <c r="N23">
        <f>Q22*(1-D23)+H23</f>
        <v/>
      </c>
      <c r="O23">
        <f>IF(A23&lt;Inputs!$C$17,MIN(Inputs!$C$25,N23),0)</f>
        <v/>
      </c>
      <c r="P23">
        <f>IF(A23&lt;Inputs!$C$17,0,MIN(Inputs!$C$25,N23)+Inputs!$C$16*(N23-MIN(Inputs!$C$25,N23)))</f>
        <v/>
      </c>
      <c r="Q23">
        <f>N23-O23-P23</f>
        <v/>
      </c>
      <c r="R23">
        <f>P23*Inputs!$C$18</f>
        <v/>
      </c>
      <c r="S23">
        <f>Cohort!H22</f>
        <v/>
      </c>
      <c r="T23">
        <f>B23/S23</f>
        <v/>
      </c>
    </row>
    <row r="24" hidden="1" outlineLevel="1">
      <c r="A24" t="n">
        <v>2021</v>
      </c>
      <c r="B24">
        <f>Cohort!B23*Scenarios!$F$4</f>
        <v/>
      </c>
      <c r="C24">
        <f>Cohort!C23*Scenarios!$F$4</f>
        <v/>
      </c>
      <c r="D24">
        <f>Cohort!D23</f>
        <v/>
      </c>
      <c r="E24">
        <f>Cohort!E23*Scenarios!$F$4</f>
        <v/>
      </c>
      <c r="F24">
        <f>Cohort!F23*Scenarios!$F$4</f>
        <v/>
      </c>
      <c r="G24">
        <f>Cohort!G23*Scenarios!$F$4</f>
        <v/>
      </c>
      <c r="H24">
        <f>C24*Scenarios!$F$5</f>
        <v/>
      </c>
      <c r="I24">
        <f>L23*(1-D24)+H24</f>
        <v/>
      </c>
      <c r="J24">
        <f>MIN(Inputs!$C$25,I24)</f>
        <v/>
      </c>
      <c r="K24">
        <f>IF(A24&lt;Inputs!$C$17,0,Inputs!$C$16*(I24-J24))</f>
        <v/>
      </c>
      <c r="L24">
        <f>I24-J24-K24</f>
        <v/>
      </c>
      <c r="M24">
        <f>K24*Inputs!$C$18</f>
        <v/>
      </c>
      <c r="N24">
        <f>Q23*(1-D24)+H24</f>
        <v/>
      </c>
      <c r="O24">
        <f>IF(A24&lt;Inputs!$C$17,MIN(Inputs!$C$25,N24),0)</f>
        <v/>
      </c>
      <c r="P24">
        <f>IF(A24&lt;Inputs!$C$17,0,MIN(Inputs!$C$25,N24)+Inputs!$C$16*(N24-MIN(Inputs!$C$25,N24)))</f>
        <v/>
      </c>
      <c r="Q24">
        <f>N24-O24-P24</f>
        <v/>
      </c>
      <c r="R24">
        <f>P24*Inputs!$C$18</f>
        <v/>
      </c>
      <c r="S24">
        <f>Cohort!H23</f>
        <v/>
      </c>
      <c r="T24">
        <f>B24/S24</f>
        <v/>
      </c>
    </row>
    <row r="25" hidden="1" outlineLevel="1">
      <c r="A25" t="n">
        <v>2022</v>
      </c>
      <c r="B25">
        <f>Cohort!B24*Scenarios!$F$4</f>
        <v/>
      </c>
      <c r="C25">
        <f>Cohort!C24*Scenarios!$F$4</f>
        <v/>
      </c>
      <c r="D25">
        <f>Cohort!D24</f>
        <v/>
      </c>
      <c r="E25">
        <f>Cohort!E24*Scenarios!$F$4</f>
        <v/>
      </c>
      <c r="F25">
        <f>Cohort!F24*Scenarios!$F$4</f>
        <v/>
      </c>
      <c r="G25">
        <f>Cohort!G24*Scenarios!$F$4</f>
        <v/>
      </c>
      <c r="H25">
        <f>C25*Scenarios!$F$5</f>
        <v/>
      </c>
      <c r="I25">
        <f>L24*(1-D25)+H25</f>
        <v/>
      </c>
      <c r="J25">
        <f>MIN(Inputs!$C$25,I25)</f>
        <v/>
      </c>
      <c r="K25">
        <f>IF(A25&lt;Inputs!$C$17,0,Inputs!$C$16*(I25-J25))</f>
        <v/>
      </c>
      <c r="L25">
        <f>I25-J25-K25</f>
        <v/>
      </c>
      <c r="M25">
        <f>K25*Inputs!$C$18</f>
        <v/>
      </c>
      <c r="N25">
        <f>Q24*(1-D25)+H25</f>
        <v/>
      </c>
      <c r="O25">
        <f>IF(A25&lt;Inputs!$C$17,MIN(Inputs!$C$25,N25),0)</f>
        <v/>
      </c>
      <c r="P25">
        <f>IF(A25&lt;Inputs!$C$17,0,MIN(Inputs!$C$25,N25)+Inputs!$C$16*(N25-MIN(Inputs!$C$25,N25)))</f>
        <v/>
      </c>
      <c r="Q25">
        <f>N25-O25-P25</f>
        <v/>
      </c>
      <c r="R25">
        <f>P25*Inputs!$C$18</f>
        <v/>
      </c>
      <c r="S25">
        <f>Cohort!H24</f>
        <v/>
      </c>
      <c r="T25">
        <f>B25/S25</f>
        <v/>
      </c>
    </row>
    <row r="26" hidden="1" outlineLevel="1">
      <c r="A26" t="n">
        <v>2023</v>
      </c>
      <c r="B26">
        <f>Cohort!B25*Scenarios!$F$4</f>
        <v/>
      </c>
      <c r="C26">
        <f>Cohort!C25*Scenarios!$F$4</f>
        <v/>
      </c>
      <c r="D26">
        <f>Cohort!D25</f>
        <v/>
      </c>
      <c r="E26">
        <f>Cohort!E25*Scenarios!$F$4</f>
        <v/>
      </c>
      <c r="F26">
        <f>Cohort!F25*Scenarios!$F$4</f>
        <v/>
      </c>
      <c r="G26">
        <f>Cohort!G25*Scenarios!$F$4</f>
        <v/>
      </c>
      <c r="H26">
        <f>C26*Scenarios!$F$5</f>
        <v/>
      </c>
      <c r="I26">
        <f>L25*(1-D26)+H26</f>
        <v/>
      </c>
      <c r="J26">
        <f>MIN(Inputs!$C$25,I26)</f>
        <v/>
      </c>
      <c r="K26">
        <f>IF(A26&lt;Inputs!$C$17,0,Inputs!$C$16*(I26-J26))</f>
        <v/>
      </c>
      <c r="L26">
        <f>I26-J26-K26</f>
        <v/>
      </c>
      <c r="M26">
        <f>K26*Inputs!$C$18</f>
        <v/>
      </c>
      <c r="N26">
        <f>Q25*(1-D26)+H26</f>
        <v/>
      </c>
      <c r="O26">
        <f>IF(A26&lt;Inputs!$C$17,MIN(Inputs!$C$25,N26),0)</f>
        <v/>
      </c>
      <c r="P26">
        <f>IF(A26&lt;Inputs!$C$17,0,MIN(Inputs!$C$25,N26)+Inputs!$C$16*(N26-MIN(Inputs!$C$25,N26)))</f>
        <v/>
      </c>
      <c r="Q26">
        <f>N26-O26-P26</f>
        <v/>
      </c>
      <c r="R26">
        <f>P26*Inputs!$C$18</f>
        <v/>
      </c>
      <c r="S26">
        <f>Cohort!H25</f>
        <v/>
      </c>
      <c r="T26">
        <f>B26/S26</f>
        <v/>
      </c>
    </row>
    <row r="27" hidden="1" outlineLevel="1">
      <c r="A27" t="n">
        <v>2024</v>
      </c>
      <c r="B27">
        <f>Cohort!B26*Scenarios!$F$4</f>
        <v/>
      </c>
      <c r="C27">
        <f>Cohort!C26*Scenarios!$F$4</f>
        <v/>
      </c>
      <c r="D27">
        <f>Cohort!D26</f>
        <v/>
      </c>
      <c r="E27">
        <f>Cohort!E26*Scenarios!$F$4</f>
        <v/>
      </c>
      <c r="F27">
        <f>Cohort!F26*Scenarios!$F$4</f>
        <v/>
      </c>
      <c r="G27">
        <f>Cohort!G26*Scenarios!$F$4</f>
        <v/>
      </c>
      <c r="H27">
        <f>C27*Scenarios!$F$5</f>
        <v/>
      </c>
      <c r="I27">
        <f>L26*(1-D27)+H27</f>
        <v/>
      </c>
      <c r="J27">
        <f>MIN(Inputs!$C$25,I27)</f>
        <v/>
      </c>
      <c r="K27">
        <f>IF(A27&lt;Inputs!$C$17,0,Inputs!$C$16*(I27-J27))</f>
        <v/>
      </c>
      <c r="L27">
        <f>I27-J27-K27</f>
        <v/>
      </c>
      <c r="M27">
        <f>K27*Inputs!$C$18</f>
        <v/>
      </c>
      <c r="N27">
        <f>Q26*(1-D27)+H27</f>
        <v/>
      </c>
      <c r="O27">
        <f>IF(A27&lt;Inputs!$C$17,MIN(Inputs!$C$25,N27),0)</f>
        <v/>
      </c>
      <c r="P27">
        <f>IF(A27&lt;Inputs!$C$17,0,MIN(Inputs!$C$25,N27)+Inputs!$C$16*(N27-MIN(Inputs!$C$25,N27)))</f>
        <v/>
      </c>
      <c r="Q27">
        <f>N27-O27-P27</f>
        <v/>
      </c>
      <c r="R27">
        <f>P27*Inputs!$C$18</f>
        <v/>
      </c>
      <c r="S27">
        <f>Cohort!H26</f>
        <v/>
      </c>
      <c r="T27">
        <f>B27/S27</f>
        <v/>
      </c>
    </row>
    <row r="28" hidden="1" outlineLevel="1">
      <c r="A28" t="n">
        <v>2025</v>
      </c>
      <c r="B28">
        <f>Cohort!B27*Scenarios!$F$4</f>
        <v/>
      </c>
      <c r="C28">
        <f>Cohort!C27*Scenarios!$F$4</f>
        <v/>
      </c>
      <c r="D28">
        <f>Cohort!D27</f>
        <v/>
      </c>
      <c r="E28">
        <f>Cohort!E27*Scenarios!$F$4</f>
        <v/>
      </c>
      <c r="F28">
        <f>Cohort!F27*Scenarios!$F$4</f>
        <v/>
      </c>
      <c r="G28">
        <f>Cohort!G27*Scenarios!$F$4</f>
        <v/>
      </c>
      <c r="H28">
        <f>C28*Scenarios!$F$5</f>
        <v/>
      </c>
      <c r="I28">
        <f>L27*(1-D28)+H28</f>
        <v/>
      </c>
      <c r="J28">
        <f>MIN(Inputs!$C$25,I28)</f>
        <v/>
      </c>
      <c r="K28">
        <f>IF(A28&lt;Inputs!$C$17,0,Inputs!$C$16*(I28-J28))</f>
        <v/>
      </c>
      <c r="L28">
        <f>I28-J28-K28</f>
        <v/>
      </c>
      <c r="M28">
        <f>K28*Inputs!$C$18</f>
        <v/>
      </c>
      <c r="N28">
        <f>Q27*(1-D28)+H28</f>
        <v/>
      </c>
      <c r="O28">
        <f>IF(A28&lt;Inputs!$C$17,MIN(Inputs!$C$25,N28),0)</f>
        <v/>
      </c>
      <c r="P28">
        <f>IF(A28&lt;Inputs!$C$17,0,MIN(Inputs!$C$25,N28)+Inputs!$C$16*(N28-MIN(Inputs!$C$25,N28)))</f>
        <v/>
      </c>
      <c r="Q28">
        <f>N28-O28-P28</f>
        <v/>
      </c>
      <c r="R28">
        <f>P28*Inputs!$C$18</f>
        <v/>
      </c>
      <c r="S28">
        <f>Cohort!H27</f>
        <v/>
      </c>
      <c r="T28">
        <f>B28/S28</f>
        <v/>
      </c>
    </row>
    <row r="29">
      <c r="A29" t="n">
        <v>2026</v>
      </c>
      <c r="B29">
        <f>Cohort!B28*Scenarios!$F$4</f>
        <v/>
      </c>
      <c r="C29">
        <f>Cohort!C28*Scenarios!$F$4</f>
        <v/>
      </c>
      <c r="D29">
        <f>Cohort!D28</f>
        <v/>
      </c>
      <c r="E29">
        <f>Cohort!E28*Scenarios!$F$4</f>
        <v/>
      </c>
      <c r="F29">
        <f>Cohort!F28*Scenarios!$F$4</f>
        <v/>
      </c>
      <c r="G29">
        <f>Cohort!G28*Scenarios!$F$4</f>
        <v/>
      </c>
      <c r="H29">
        <f>C29*Scenarios!$F$5</f>
        <v/>
      </c>
      <c r="I29">
        <f>L28*(1-D29)+H29</f>
        <v/>
      </c>
      <c r="J29">
        <f>MIN(Inputs!$C$25,I29)</f>
        <v/>
      </c>
      <c r="K29">
        <f>IF(A29&lt;Inputs!$C$17,0,Inputs!$C$16*(I29-J29))</f>
        <v/>
      </c>
      <c r="L29">
        <f>I29-J29-K29</f>
        <v/>
      </c>
      <c r="M29">
        <f>K29*Inputs!$C$18</f>
        <v/>
      </c>
      <c r="N29">
        <f>Q28*(1-D29)+H29</f>
        <v/>
      </c>
      <c r="O29">
        <f>IF(A29&lt;Inputs!$C$17,MIN(Inputs!$C$25,N29),0)</f>
        <v/>
      </c>
      <c r="P29">
        <f>IF(A29&lt;Inputs!$C$17,0,MIN(Inputs!$C$25,N29)+Inputs!$C$16*(N29-MIN(Inputs!$C$25,N29)))</f>
        <v/>
      </c>
      <c r="Q29">
        <f>N29-O29-P29</f>
        <v/>
      </c>
      <c r="R29">
        <f>P29*Inputs!$C$18</f>
        <v/>
      </c>
      <c r="S29">
        <f>Cohort!H28</f>
        <v/>
      </c>
      <c r="T29">
        <f>B29/S29</f>
        <v/>
      </c>
    </row>
    <row r="30">
      <c r="A30" t="n">
        <v>2027</v>
      </c>
      <c r="B30">
        <f>Cohort!B29*Scenarios!$F$4</f>
        <v/>
      </c>
      <c r="C30">
        <f>Cohort!C29*Scenarios!$F$4</f>
        <v/>
      </c>
      <c r="D30">
        <f>Cohort!D29</f>
        <v/>
      </c>
      <c r="E30">
        <f>Cohort!E29*Scenarios!$F$4</f>
        <v/>
      </c>
      <c r="F30">
        <f>Cohort!F29*Scenarios!$F$4</f>
        <v/>
      </c>
      <c r="G30">
        <f>Cohort!G29*Scenarios!$F$4</f>
        <v/>
      </c>
      <c r="H30">
        <f>C30*Scenarios!$F$5</f>
        <v/>
      </c>
      <c r="I30">
        <f>L29*(1-D30)+H30</f>
        <v/>
      </c>
      <c r="J30">
        <f>MIN(Inputs!$C$25,I30)</f>
        <v/>
      </c>
      <c r="K30">
        <f>IF(A30&lt;Inputs!$C$17,0,Inputs!$C$16*(I30-J30))</f>
        <v/>
      </c>
      <c r="L30">
        <f>I30-J30-K30</f>
        <v/>
      </c>
      <c r="M30">
        <f>K30*Inputs!$C$18</f>
        <v/>
      </c>
      <c r="N30">
        <f>Q29*(1-D30)+H30</f>
        <v/>
      </c>
      <c r="O30">
        <f>IF(A30&lt;Inputs!$C$17,MIN(Inputs!$C$25,N30),0)</f>
        <v/>
      </c>
      <c r="P30">
        <f>IF(A30&lt;Inputs!$C$17,0,MIN(Inputs!$C$25,N30)+Inputs!$C$16*(N30-MIN(Inputs!$C$25,N30)))</f>
        <v/>
      </c>
      <c r="Q30">
        <f>N30-O30-P30</f>
        <v/>
      </c>
      <c r="R30">
        <f>P30*Inputs!$C$18</f>
        <v/>
      </c>
      <c r="S30">
        <f>Cohort!H29</f>
        <v/>
      </c>
      <c r="T30">
        <f>B30/S30</f>
        <v/>
      </c>
    </row>
    <row r="31">
      <c r="A31" t="n">
        <v>2028</v>
      </c>
      <c r="B31">
        <f>Cohort!B30*Scenarios!$F$4</f>
        <v/>
      </c>
      <c r="C31">
        <f>Cohort!C30*Scenarios!$F$4</f>
        <v/>
      </c>
      <c r="D31">
        <f>Cohort!D30</f>
        <v/>
      </c>
      <c r="E31">
        <f>Cohort!E30*Scenarios!$F$4</f>
        <v/>
      </c>
      <c r="F31">
        <f>Cohort!F30*Scenarios!$F$4</f>
        <v/>
      </c>
      <c r="G31">
        <f>Cohort!G30*Scenarios!$F$4</f>
        <v/>
      </c>
      <c r="H31">
        <f>C31*Scenarios!$F$5</f>
        <v/>
      </c>
      <c r="I31">
        <f>L30*(1-D31)+H31</f>
        <v/>
      </c>
      <c r="J31">
        <f>MIN(Inputs!$C$25,I31)</f>
        <v/>
      </c>
      <c r="K31">
        <f>IF(A31&lt;Inputs!$C$17,0,Inputs!$C$16*(I31-J31))</f>
        <v/>
      </c>
      <c r="L31">
        <f>I31-J31-K31</f>
        <v/>
      </c>
      <c r="M31">
        <f>K31*Inputs!$C$18</f>
        <v/>
      </c>
      <c r="N31">
        <f>Q30*(1-D31)+H31</f>
        <v/>
      </c>
      <c r="O31">
        <f>IF(A31&lt;Inputs!$C$17,MIN(Inputs!$C$25,N31),0)</f>
        <v/>
      </c>
      <c r="P31">
        <f>IF(A31&lt;Inputs!$C$17,0,MIN(Inputs!$C$25,N31)+Inputs!$C$16*(N31-MIN(Inputs!$C$25,N31)))</f>
        <v/>
      </c>
      <c r="Q31">
        <f>N31-O31-P31</f>
        <v/>
      </c>
      <c r="R31">
        <f>P31*Inputs!$C$18</f>
        <v/>
      </c>
      <c r="S31">
        <f>Cohort!H30</f>
        <v/>
      </c>
      <c r="T31">
        <f>B31/S31</f>
        <v/>
      </c>
    </row>
    <row r="32">
      <c r="A32" t="n">
        <v>2029</v>
      </c>
      <c r="B32">
        <f>Cohort!B31*Scenarios!$F$4</f>
        <v/>
      </c>
      <c r="C32">
        <f>Cohort!C31*Scenarios!$F$4</f>
        <v/>
      </c>
      <c r="D32">
        <f>Cohort!D31</f>
        <v/>
      </c>
      <c r="E32">
        <f>Cohort!E31*Scenarios!$F$4</f>
        <v/>
      </c>
      <c r="F32">
        <f>Cohort!F31*Scenarios!$F$4</f>
        <v/>
      </c>
      <c r="G32">
        <f>Cohort!G31*Scenarios!$F$4</f>
        <v/>
      </c>
      <c r="H32">
        <f>C32*Scenarios!$F$5</f>
        <v/>
      </c>
      <c r="I32">
        <f>L31*(1-D32)+H32</f>
        <v/>
      </c>
      <c r="J32">
        <f>MIN(Inputs!$C$25,I32)</f>
        <v/>
      </c>
      <c r="K32">
        <f>IF(A32&lt;Inputs!$C$17,0,Inputs!$C$16*(I32-J32))</f>
        <v/>
      </c>
      <c r="L32">
        <f>I32-J32-K32</f>
        <v/>
      </c>
      <c r="M32">
        <f>K32*Inputs!$C$18</f>
        <v/>
      </c>
      <c r="N32">
        <f>Q31*(1-D32)+H32</f>
        <v/>
      </c>
      <c r="O32">
        <f>IF(A32&lt;Inputs!$C$17,MIN(Inputs!$C$25,N32),0)</f>
        <v/>
      </c>
      <c r="P32">
        <f>IF(A32&lt;Inputs!$C$17,0,MIN(Inputs!$C$25,N32)+Inputs!$C$16*(N32-MIN(Inputs!$C$25,N32)))</f>
        <v/>
      </c>
      <c r="Q32">
        <f>N32-O32-P32</f>
        <v/>
      </c>
      <c r="R32">
        <f>P32*Inputs!$C$18</f>
        <v/>
      </c>
      <c r="S32">
        <f>Cohort!H31</f>
        <v/>
      </c>
      <c r="T32">
        <f>B32/S32</f>
        <v/>
      </c>
    </row>
    <row r="33">
      <c r="A33" t="n">
        <v>2030</v>
      </c>
      <c r="B33">
        <f>Cohort!B32*Scenarios!$F$4</f>
        <v/>
      </c>
      <c r="C33">
        <f>Cohort!C32*Scenarios!$F$4</f>
        <v/>
      </c>
      <c r="D33">
        <f>Cohort!D32</f>
        <v/>
      </c>
      <c r="E33">
        <f>Cohort!E32*Scenarios!$F$4</f>
        <v/>
      </c>
      <c r="F33">
        <f>Cohort!F32*Scenarios!$F$4</f>
        <v/>
      </c>
      <c r="G33">
        <f>Cohort!G32*Scenarios!$F$4</f>
        <v/>
      </c>
      <c r="H33">
        <f>C33*Scenarios!$F$5</f>
        <v/>
      </c>
      <c r="I33">
        <f>L32*(1-D33)+H33</f>
        <v/>
      </c>
      <c r="J33">
        <f>MIN(Inputs!$C$25,I33)</f>
        <v/>
      </c>
      <c r="K33">
        <f>IF(A33&lt;Inputs!$C$17,0,Inputs!$C$16*(I33-J33))</f>
        <v/>
      </c>
      <c r="L33">
        <f>I33-J33-K33</f>
        <v/>
      </c>
      <c r="M33">
        <f>K33*Inputs!$C$18</f>
        <v/>
      </c>
      <c r="N33">
        <f>Q32*(1-D33)+H33</f>
        <v/>
      </c>
      <c r="O33">
        <f>IF(A33&lt;Inputs!$C$17,MIN(Inputs!$C$25,N33),0)</f>
        <v/>
      </c>
      <c r="P33">
        <f>IF(A33&lt;Inputs!$C$17,0,MIN(Inputs!$C$25,N33)+Inputs!$C$16*(N33-MIN(Inputs!$C$25,N33)))</f>
        <v/>
      </c>
      <c r="Q33">
        <f>N33-O33-P33</f>
        <v/>
      </c>
      <c r="R33">
        <f>P33*Inputs!$C$18</f>
        <v/>
      </c>
      <c r="S33">
        <f>Cohort!H32</f>
        <v/>
      </c>
      <c r="T33">
        <f>B33/S33</f>
        <v/>
      </c>
    </row>
    <row r="34">
      <c r="A34" t="n">
        <v>2031</v>
      </c>
      <c r="B34">
        <f>Cohort!B33*Scenarios!$F$4</f>
        <v/>
      </c>
      <c r="C34">
        <f>Cohort!C33*Scenarios!$F$4</f>
        <v/>
      </c>
      <c r="D34">
        <f>Cohort!D33</f>
        <v/>
      </c>
      <c r="E34">
        <f>Cohort!E33*Scenarios!$F$4</f>
        <v/>
      </c>
      <c r="F34">
        <f>Cohort!F33*Scenarios!$F$4</f>
        <v/>
      </c>
      <c r="G34">
        <f>Cohort!G33*Scenarios!$F$4</f>
        <v/>
      </c>
      <c r="H34">
        <f>C34*Scenarios!$F$5</f>
        <v/>
      </c>
      <c r="I34">
        <f>L33*(1-D34)+H34</f>
        <v/>
      </c>
      <c r="J34">
        <f>MIN(Inputs!$C$25,I34)</f>
        <v/>
      </c>
      <c r="K34">
        <f>IF(A34&lt;Inputs!$C$17,0,Inputs!$C$16*(I34-J34))</f>
        <v/>
      </c>
      <c r="L34">
        <f>I34-J34-K34</f>
        <v/>
      </c>
      <c r="M34">
        <f>K34*Inputs!$C$18</f>
        <v/>
      </c>
      <c r="N34">
        <f>Q33*(1-D34)+H34</f>
        <v/>
      </c>
      <c r="O34">
        <f>IF(A34&lt;Inputs!$C$17,MIN(Inputs!$C$25,N34),0)</f>
        <v/>
      </c>
      <c r="P34">
        <f>IF(A34&lt;Inputs!$C$17,0,MIN(Inputs!$C$25,N34)+Inputs!$C$16*(N34-MIN(Inputs!$C$25,N34)))</f>
        <v/>
      </c>
      <c r="Q34">
        <f>N34-O34-P34</f>
        <v/>
      </c>
      <c r="R34">
        <f>P34*Inputs!$C$18</f>
        <v/>
      </c>
      <c r="S34">
        <f>Cohort!H33</f>
        <v/>
      </c>
      <c r="T34">
        <f>B34/S34</f>
        <v/>
      </c>
    </row>
    <row r="35">
      <c r="A35" t="n">
        <v>2032</v>
      </c>
      <c r="B35">
        <f>Cohort!B34*Scenarios!$F$4</f>
        <v/>
      </c>
      <c r="C35">
        <f>Cohort!C34*Scenarios!$F$4</f>
        <v/>
      </c>
      <c r="D35">
        <f>Cohort!D34</f>
        <v/>
      </c>
      <c r="E35">
        <f>Cohort!E34*Scenarios!$F$4</f>
        <v/>
      </c>
      <c r="F35">
        <f>Cohort!F34*Scenarios!$F$4</f>
        <v/>
      </c>
      <c r="G35">
        <f>Cohort!G34*Scenarios!$F$4</f>
        <v/>
      </c>
      <c r="H35">
        <f>C35*Scenarios!$F$5</f>
        <v/>
      </c>
      <c r="I35">
        <f>L34*(1-D35)+H35</f>
        <v/>
      </c>
      <c r="J35">
        <f>MIN(Inputs!$C$25,I35)</f>
        <v/>
      </c>
      <c r="K35">
        <f>IF(A35&lt;Inputs!$C$17,0,Inputs!$C$16*(I35-J35))</f>
        <v/>
      </c>
      <c r="L35">
        <f>I35-J35-K35</f>
        <v/>
      </c>
      <c r="M35">
        <f>K35*Inputs!$C$18</f>
        <v/>
      </c>
      <c r="N35">
        <f>Q34*(1-D35)+H35</f>
        <v/>
      </c>
      <c r="O35">
        <f>IF(A35&lt;Inputs!$C$17,MIN(Inputs!$C$25,N35),0)</f>
        <v/>
      </c>
      <c r="P35">
        <f>IF(A35&lt;Inputs!$C$17,0,MIN(Inputs!$C$25,N35)+Inputs!$C$16*(N35-MIN(Inputs!$C$25,N35)))</f>
        <v/>
      </c>
      <c r="Q35">
        <f>N35-O35-P35</f>
        <v/>
      </c>
      <c r="R35">
        <f>P35*Inputs!$C$18</f>
        <v/>
      </c>
      <c r="S35">
        <f>Cohort!H34</f>
        <v/>
      </c>
      <c r="T35">
        <f>B35/S35</f>
        <v/>
      </c>
    </row>
    <row r="36">
      <c r="A36" t="n">
        <v>2033</v>
      </c>
      <c r="B36">
        <f>Cohort!B35*Scenarios!$F$4</f>
        <v/>
      </c>
      <c r="C36">
        <f>Cohort!C35*Scenarios!$F$4</f>
        <v/>
      </c>
      <c r="D36">
        <f>Cohort!D35</f>
        <v/>
      </c>
      <c r="E36">
        <f>Cohort!E35*Scenarios!$F$4</f>
        <v/>
      </c>
      <c r="F36">
        <f>Cohort!F35*Scenarios!$F$4</f>
        <v/>
      </c>
      <c r="G36">
        <f>Cohort!G35*Scenarios!$F$4</f>
        <v/>
      </c>
      <c r="H36">
        <f>C36*Scenarios!$F$5</f>
        <v/>
      </c>
      <c r="I36">
        <f>L35*(1-D36)+H36</f>
        <v/>
      </c>
      <c r="J36">
        <f>MIN(Inputs!$C$25,I36)</f>
        <v/>
      </c>
      <c r="K36">
        <f>IF(A36&lt;Inputs!$C$17,0,Inputs!$C$16*(I36-J36))</f>
        <v/>
      </c>
      <c r="L36">
        <f>I36-J36-K36</f>
        <v/>
      </c>
      <c r="M36">
        <f>K36*Inputs!$C$18</f>
        <v/>
      </c>
      <c r="N36">
        <f>Q35*(1-D36)+H36</f>
        <v/>
      </c>
      <c r="O36">
        <f>IF(A36&lt;Inputs!$C$17,MIN(Inputs!$C$25,N36),0)</f>
        <v/>
      </c>
      <c r="P36">
        <f>IF(A36&lt;Inputs!$C$17,0,MIN(Inputs!$C$25,N36)+Inputs!$C$16*(N36-MIN(Inputs!$C$25,N36)))</f>
        <v/>
      </c>
      <c r="Q36">
        <f>N36-O36-P36</f>
        <v/>
      </c>
      <c r="R36">
        <f>P36*Inputs!$C$18</f>
        <v/>
      </c>
      <c r="S36">
        <f>Cohort!H35</f>
        <v/>
      </c>
      <c r="T36">
        <f>B36/S36</f>
        <v/>
      </c>
    </row>
    <row r="37">
      <c r="A37" t="n">
        <v>2034</v>
      </c>
      <c r="B37">
        <f>Cohort!B36*Scenarios!$F$4</f>
        <v/>
      </c>
      <c r="C37">
        <f>Cohort!C36*Scenarios!$F$4</f>
        <v/>
      </c>
      <c r="D37">
        <f>Cohort!D36</f>
        <v/>
      </c>
      <c r="E37">
        <f>Cohort!E36*Scenarios!$F$4</f>
        <v/>
      </c>
      <c r="F37">
        <f>Cohort!F36*Scenarios!$F$4</f>
        <v/>
      </c>
      <c r="G37">
        <f>Cohort!G36*Scenarios!$F$4</f>
        <v/>
      </c>
      <c r="H37">
        <f>C37*Scenarios!$F$5</f>
        <v/>
      </c>
      <c r="I37">
        <f>L36*(1-D37)+H37</f>
        <v/>
      </c>
      <c r="J37">
        <f>MIN(Inputs!$C$25,I37)</f>
        <v/>
      </c>
      <c r="K37">
        <f>IF(A37&lt;Inputs!$C$17,0,Inputs!$C$16*(I37-J37))</f>
        <v/>
      </c>
      <c r="L37">
        <f>I37-J37-K37</f>
        <v/>
      </c>
      <c r="M37">
        <f>K37*Inputs!$C$18</f>
        <v/>
      </c>
      <c r="N37">
        <f>Q36*(1-D37)+H37</f>
        <v/>
      </c>
      <c r="O37">
        <f>IF(A37&lt;Inputs!$C$17,MIN(Inputs!$C$25,N37),0)</f>
        <v/>
      </c>
      <c r="P37">
        <f>IF(A37&lt;Inputs!$C$17,0,MIN(Inputs!$C$25,N37)+Inputs!$C$16*(N37-MIN(Inputs!$C$25,N37)))</f>
        <v/>
      </c>
      <c r="Q37">
        <f>N37-O37-P37</f>
        <v/>
      </c>
      <c r="R37">
        <f>P37*Inputs!$C$18</f>
        <v/>
      </c>
      <c r="S37">
        <f>Cohort!H36</f>
        <v/>
      </c>
      <c r="T37">
        <f>B37/S37</f>
        <v/>
      </c>
    </row>
    <row r="38">
      <c r="A38" t="n">
        <v>2035</v>
      </c>
      <c r="B38">
        <f>Cohort!B37*Scenarios!$F$4</f>
        <v/>
      </c>
      <c r="C38">
        <f>Cohort!C37*Scenarios!$F$4</f>
        <v/>
      </c>
      <c r="D38">
        <f>Cohort!D37</f>
        <v/>
      </c>
      <c r="E38">
        <f>Cohort!E37*Scenarios!$F$4</f>
        <v/>
      </c>
      <c r="F38">
        <f>Cohort!F37*Scenarios!$F$4</f>
        <v/>
      </c>
      <c r="G38">
        <f>Cohort!G37*Scenarios!$F$4</f>
        <v/>
      </c>
      <c r="H38">
        <f>C38*Scenarios!$F$5</f>
        <v/>
      </c>
      <c r="I38">
        <f>L37*(1-D38)+H38</f>
        <v/>
      </c>
      <c r="J38">
        <f>MIN(Inputs!$C$25,I38)</f>
        <v/>
      </c>
      <c r="K38">
        <f>IF(A38&lt;Inputs!$C$17,0,Inputs!$C$16*(I38-J38))</f>
        <v/>
      </c>
      <c r="L38">
        <f>I38-J38-K38</f>
        <v/>
      </c>
      <c r="M38">
        <f>K38*Inputs!$C$18</f>
        <v/>
      </c>
      <c r="N38">
        <f>Q37*(1-D38)+H38</f>
        <v/>
      </c>
      <c r="O38">
        <f>IF(A38&lt;Inputs!$C$17,MIN(Inputs!$C$25,N38),0)</f>
        <v/>
      </c>
      <c r="P38">
        <f>IF(A38&lt;Inputs!$C$17,0,MIN(Inputs!$C$25,N38)+Inputs!$C$16*(N38-MIN(Inputs!$C$25,N38)))</f>
        <v/>
      </c>
      <c r="Q38">
        <f>N38-O38-P38</f>
        <v/>
      </c>
      <c r="R38">
        <f>P38*Inputs!$C$18</f>
        <v/>
      </c>
      <c r="S38">
        <f>Cohort!H37</f>
        <v/>
      </c>
      <c r="T38">
        <f>B38/S38</f>
        <v/>
      </c>
    </row>
    <row r="39">
      <c r="A39" t="n">
        <v>2036</v>
      </c>
      <c r="B39">
        <f>Cohort!B38*Scenarios!$F$4</f>
        <v/>
      </c>
      <c r="C39">
        <f>Cohort!C38*Scenarios!$F$4</f>
        <v/>
      </c>
      <c r="D39">
        <f>Cohort!D38</f>
        <v/>
      </c>
      <c r="E39">
        <f>Cohort!E38*Scenarios!$F$4</f>
        <v/>
      </c>
      <c r="F39">
        <f>Cohort!F38*Scenarios!$F$4</f>
        <v/>
      </c>
      <c r="G39">
        <f>Cohort!G38*Scenarios!$F$4</f>
        <v/>
      </c>
      <c r="H39">
        <f>C39*Scenarios!$F$5</f>
        <v/>
      </c>
      <c r="I39">
        <f>L38*(1-D39)+H39</f>
        <v/>
      </c>
      <c r="J39">
        <f>MIN(Inputs!$C$25,I39)</f>
        <v/>
      </c>
      <c r="K39">
        <f>IF(A39&lt;Inputs!$C$17,0,Inputs!$C$16*(I39-J39))</f>
        <v/>
      </c>
      <c r="L39">
        <f>I39-J39-K39</f>
        <v/>
      </c>
      <c r="M39">
        <f>K39*Inputs!$C$18</f>
        <v/>
      </c>
      <c r="N39">
        <f>Q38*(1-D39)+H39</f>
        <v/>
      </c>
      <c r="O39">
        <f>IF(A39&lt;Inputs!$C$17,MIN(Inputs!$C$25,N39),0)</f>
        <v/>
      </c>
      <c r="P39">
        <f>IF(A39&lt;Inputs!$C$17,0,MIN(Inputs!$C$25,N39)+Inputs!$C$16*(N39-MIN(Inputs!$C$25,N39)))</f>
        <v/>
      </c>
      <c r="Q39">
        <f>N39-O39-P39</f>
        <v/>
      </c>
      <c r="R39">
        <f>P39*Inputs!$C$18</f>
        <v/>
      </c>
      <c r="S39">
        <f>Cohort!H38</f>
        <v/>
      </c>
      <c r="T39">
        <f>B39/S39</f>
        <v/>
      </c>
    </row>
    <row r="40">
      <c r="A40" t="n">
        <v>2037</v>
      </c>
      <c r="B40">
        <f>Cohort!B39*Scenarios!$F$4</f>
        <v/>
      </c>
      <c r="C40">
        <f>Cohort!C39*Scenarios!$F$4</f>
        <v/>
      </c>
      <c r="D40">
        <f>Cohort!D39</f>
        <v/>
      </c>
      <c r="E40">
        <f>Cohort!E39*Scenarios!$F$4</f>
        <v/>
      </c>
      <c r="F40">
        <f>Cohort!F39*Scenarios!$F$4</f>
        <v/>
      </c>
      <c r="G40">
        <f>Cohort!G39*Scenarios!$F$4</f>
        <v/>
      </c>
      <c r="H40">
        <f>C40*Scenarios!$F$5</f>
        <v/>
      </c>
      <c r="I40">
        <f>L39*(1-D40)+H40</f>
        <v/>
      </c>
      <c r="J40">
        <f>MIN(Inputs!$C$25,I40)</f>
        <v/>
      </c>
      <c r="K40">
        <f>IF(A40&lt;Inputs!$C$17,0,Inputs!$C$16*(I40-J40))</f>
        <v/>
      </c>
      <c r="L40">
        <f>I40-J40-K40</f>
        <v/>
      </c>
      <c r="M40">
        <f>K40*Inputs!$C$18</f>
        <v/>
      </c>
      <c r="N40">
        <f>Q39*(1-D40)+H40</f>
        <v/>
      </c>
      <c r="O40">
        <f>IF(A40&lt;Inputs!$C$17,MIN(Inputs!$C$25,N40),0)</f>
        <v/>
      </c>
      <c r="P40">
        <f>IF(A40&lt;Inputs!$C$17,0,MIN(Inputs!$C$25,N40)+Inputs!$C$16*(N40-MIN(Inputs!$C$25,N40)))</f>
        <v/>
      </c>
      <c r="Q40">
        <f>N40-O40-P40</f>
        <v/>
      </c>
      <c r="R40">
        <f>P40*Inputs!$C$18</f>
        <v/>
      </c>
      <c r="S40">
        <f>Cohort!H39</f>
        <v/>
      </c>
      <c r="T40">
        <f>B40/S40</f>
        <v/>
      </c>
    </row>
    <row r="41">
      <c r="A41" t="n">
        <v>2038</v>
      </c>
      <c r="B41">
        <f>Cohort!B40*Scenarios!$F$4</f>
        <v/>
      </c>
      <c r="C41">
        <f>Cohort!C40*Scenarios!$F$4</f>
        <v/>
      </c>
      <c r="D41">
        <f>Cohort!D40</f>
        <v/>
      </c>
      <c r="E41">
        <f>Cohort!E40*Scenarios!$F$4</f>
        <v/>
      </c>
      <c r="F41">
        <f>Cohort!F40*Scenarios!$F$4</f>
        <v/>
      </c>
      <c r="G41">
        <f>Cohort!G40*Scenarios!$F$4</f>
        <v/>
      </c>
      <c r="H41">
        <f>C41*Scenarios!$F$5</f>
        <v/>
      </c>
      <c r="I41">
        <f>L40*(1-D41)+H41</f>
        <v/>
      </c>
      <c r="J41">
        <f>MIN(Inputs!$C$25,I41)</f>
        <v/>
      </c>
      <c r="K41">
        <f>IF(A41&lt;Inputs!$C$17,0,Inputs!$C$16*(I41-J41))</f>
        <v/>
      </c>
      <c r="L41">
        <f>I41-J41-K41</f>
        <v/>
      </c>
      <c r="M41">
        <f>K41*Inputs!$C$18</f>
        <v/>
      </c>
      <c r="N41">
        <f>Q40*(1-D41)+H41</f>
        <v/>
      </c>
      <c r="O41">
        <f>IF(A41&lt;Inputs!$C$17,MIN(Inputs!$C$25,N41),0)</f>
        <v/>
      </c>
      <c r="P41">
        <f>IF(A41&lt;Inputs!$C$17,0,MIN(Inputs!$C$25,N41)+Inputs!$C$16*(N41-MIN(Inputs!$C$25,N41)))</f>
        <v/>
      </c>
      <c r="Q41">
        <f>N41-O41-P41</f>
        <v/>
      </c>
      <c r="R41">
        <f>P41*Inputs!$C$18</f>
        <v/>
      </c>
      <c r="S41">
        <f>Cohort!H40</f>
        <v/>
      </c>
      <c r="T41">
        <f>B41/S41</f>
        <v/>
      </c>
    </row>
    <row r="42">
      <c r="A42" t="n">
        <v>2039</v>
      </c>
      <c r="B42">
        <f>Cohort!B41*Scenarios!$F$4</f>
        <v/>
      </c>
      <c r="C42">
        <f>Cohort!C41*Scenarios!$F$4</f>
        <v/>
      </c>
      <c r="D42">
        <f>Cohort!D41</f>
        <v/>
      </c>
      <c r="E42">
        <f>Cohort!E41*Scenarios!$F$4</f>
        <v/>
      </c>
      <c r="F42">
        <f>Cohort!F41*Scenarios!$F$4</f>
        <v/>
      </c>
      <c r="G42">
        <f>Cohort!G41*Scenarios!$F$4</f>
        <v/>
      </c>
      <c r="H42">
        <f>C42*Scenarios!$F$5</f>
        <v/>
      </c>
      <c r="I42">
        <f>L41*(1-D42)+H42</f>
        <v/>
      </c>
      <c r="J42">
        <f>MIN(Inputs!$C$25,I42)</f>
        <v/>
      </c>
      <c r="K42">
        <f>IF(A42&lt;Inputs!$C$17,0,Inputs!$C$16*(I42-J42))</f>
        <v/>
      </c>
      <c r="L42">
        <f>I42-J42-K42</f>
        <v/>
      </c>
      <c r="M42">
        <f>K42*Inputs!$C$18</f>
        <v/>
      </c>
      <c r="N42">
        <f>Q41*(1-D42)+H42</f>
        <v/>
      </c>
      <c r="O42">
        <f>IF(A42&lt;Inputs!$C$17,MIN(Inputs!$C$25,N42),0)</f>
        <v/>
      </c>
      <c r="P42">
        <f>IF(A42&lt;Inputs!$C$17,0,MIN(Inputs!$C$25,N42)+Inputs!$C$16*(N42-MIN(Inputs!$C$25,N42)))</f>
        <v/>
      </c>
      <c r="Q42">
        <f>N42-O42-P42</f>
        <v/>
      </c>
      <c r="R42">
        <f>P42*Inputs!$C$18</f>
        <v/>
      </c>
      <c r="S42">
        <f>Cohort!H41</f>
        <v/>
      </c>
      <c r="T42">
        <f>B42/S42</f>
        <v/>
      </c>
    </row>
    <row r="43">
      <c r="A43" t="n">
        <v>2040</v>
      </c>
      <c r="B43">
        <f>Cohort!B42*Scenarios!$F$4</f>
        <v/>
      </c>
      <c r="C43">
        <f>Cohort!C42*Scenarios!$F$4</f>
        <v/>
      </c>
      <c r="D43">
        <f>Cohort!D42</f>
        <v/>
      </c>
      <c r="E43">
        <f>Cohort!E42*Scenarios!$F$4</f>
        <v/>
      </c>
      <c r="F43">
        <f>Cohort!F42*Scenarios!$F$4</f>
        <v/>
      </c>
      <c r="G43">
        <f>Cohort!G42*Scenarios!$F$4</f>
        <v/>
      </c>
      <c r="H43">
        <f>C43*Scenarios!$F$5</f>
        <v/>
      </c>
      <c r="I43">
        <f>L42*(1-D43)+H43</f>
        <v/>
      </c>
      <c r="J43">
        <f>MIN(Inputs!$C$25,I43)</f>
        <v/>
      </c>
      <c r="K43">
        <f>IF(A43&lt;Inputs!$C$17,0,Inputs!$C$16*(I43-J43))</f>
        <v/>
      </c>
      <c r="L43">
        <f>I43-J43-K43</f>
        <v/>
      </c>
      <c r="M43">
        <f>K43*Inputs!$C$18</f>
        <v/>
      </c>
      <c r="N43">
        <f>Q42*(1-D43)+H43</f>
        <v/>
      </c>
      <c r="O43">
        <f>IF(A43&lt;Inputs!$C$17,MIN(Inputs!$C$25,N43),0)</f>
        <v/>
      </c>
      <c r="P43">
        <f>IF(A43&lt;Inputs!$C$17,0,MIN(Inputs!$C$25,N43)+Inputs!$C$16*(N43-MIN(Inputs!$C$25,N43)))</f>
        <v/>
      </c>
      <c r="Q43">
        <f>N43-O43-P43</f>
        <v/>
      </c>
      <c r="R43">
        <f>P43*Inputs!$C$18</f>
        <v/>
      </c>
      <c r="S43">
        <f>Cohort!H42</f>
        <v/>
      </c>
      <c r="T43">
        <f>B43/S43</f>
        <v/>
      </c>
    </row>
    <row r="44">
      <c r="A44" t="n">
        <v>2041</v>
      </c>
      <c r="B44">
        <f>Cohort!B43*Scenarios!$F$4</f>
        <v/>
      </c>
      <c r="C44">
        <f>Cohort!C43*Scenarios!$F$4</f>
        <v/>
      </c>
      <c r="D44">
        <f>Cohort!D43</f>
        <v/>
      </c>
      <c r="E44">
        <f>Cohort!E43*Scenarios!$F$4</f>
        <v/>
      </c>
      <c r="F44">
        <f>Cohort!F43*Scenarios!$F$4</f>
        <v/>
      </c>
      <c r="G44">
        <f>Cohort!G43*Scenarios!$F$4</f>
        <v/>
      </c>
      <c r="H44">
        <f>C44*Scenarios!$F$5</f>
        <v/>
      </c>
      <c r="I44">
        <f>L43*(1-D44)+H44</f>
        <v/>
      </c>
      <c r="J44">
        <f>MIN(Inputs!$C$25,I44)</f>
        <v/>
      </c>
      <c r="K44">
        <f>IF(A44&lt;Inputs!$C$17,0,Inputs!$C$16*(I44-J44))</f>
        <v/>
      </c>
      <c r="L44">
        <f>I44-J44-K44</f>
        <v/>
      </c>
      <c r="M44">
        <f>K44*Inputs!$C$18</f>
        <v/>
      </c>
      <c r="N44">
        <f>Q43*(1-D44)+H44</f>
        <v/>
      </c>
      <c r="O44">
        <f>IF(A44&lt;Inputs!$C$17,MIN(Inputs!$C$25,N44),0)</f>
        <v/>
      </c>
      <c r="P44">
        <f>IF(A44&lt;Inputs!$C$17,0,MIN(Inputs!$C$25,N44)+Inputs!$C$16*(N44-MIN(Inputs!$C$25,N44)))</f>
        <v/>
      </c>
      <c r="Q44">
        <f>N44-O44-P44</f>
        <v/>
      </c>
      <c r="R44">
        <f>P44*Inputs!$C$18</f>
        <v/>
      </c>
      <c r="S44">
        <f>Cohort!H43</f>
        <v/>
      </c>
      <c r="T44">
        <f>B44/S44</f>
        <v/>
      </c>
    </row>
    <row r="45">
      <c r="A45" t="n">
        <v>2042</v>
      </c>
      <c r="B45">
        <f>Cohort!B44*Scenarios!$F$4</f>
        <v/>
      </c>
      <c r="C45">
        <f>Cohort!C44*Scenarios!$F$4</f>
        <v/>
      </c>
      <c r="D45">
        <f>Cohort!D44</f>
        <v/>
      </c>
      <c r="E45">
        <f>Cohort!E44*Scenarios!$F$4</f>
        <v/>
      </c>
      <c r="F45">
        <f>Cohort!F44*Scenarios!$F$4</f>
        <v/>
      </c>
      <c r="G45">
        <f>Cohort!G44*Scenarios!$F$4</f>
        <v/>
      </c>
      <c r="H45">
        <f>C45*Scenarios!$F$5</f>
        <v/>
      </c>
      <c r="I45">
        <f>L44*(1-D45)+H45</f>
        <v/>
      </c>
      <c r="J45">
        <f>MIN(Inputs!$C$25,I45)</f>
        <v/>
      </c>
      <c r="K45">
        <f>IF(A45&lt;Inputs!$C$17,0,Inputs!$C$16*(I45-J45))</f>
        <v/>
      </c>
      <c r="L45">
        <f>I45-J45-K45</f>
        <v/>
      </c>
      <c r="M45">
        <f>K45*Inputs!$C$18</f>
        <v/>
      </c>
      <c r="N45">
        <f>Q44*(1-D45)+H45</f>
        <v/>
      </c>
      <c r="O45">
        <f>IF(A45&lt;Inputs!$C$17,MIN(Inputs!$C$25,N45),0)</f>
        <v/>
      </c>
      <c r="P45">
        <f>IF(A45&lt;Inputs!$C$17,0,MIN(Inputs!$C$25,N45)+Inputs!$C$16*(N45-MIN(Inputs!$C$25,N45)))</f>
        <v/>
      </c>
      <c r="Q45">
        <f>N45-O45-P45</f>
        <v/>
      </c>
      <c r="R45">
        <f>P45*Inputs!$C$18</f>
        <v/>
      </c>
      <c r="S45">
        <f>Cohort!H44</f>
        <v/>
      </c>
      <c r="T45">
        <f>B45/S45</f>
        <v/>
      </c>
    </row>
    <row r="46">
      <c r="A46" t="n">
        <v>2043</v>
      </c>
      <c r="B46">
        <f>Cohort!B45*Scenarios!$F$4</f>
        <v/>
      </c>
      <c r="C46">
        <f>Cohort!C45*Scenarios!$F$4</f>
        <v/>
      </c>
      <c r="D46">
        <f>Cohort!D45</f>
        <v/>
      </c>
      <c r="E46">
        <f>Cohort!E45*Scenarios!$F$4</f>
        <v/>
      </c>
      <c r="F46">
        <f>Cohort!F45*Scenarios!$F$4</f>
        <v/>
      </c>
      <c r="G46">
        <f>Cohort!G45*Scenarios!$F$4</f>
        <v/>
      </c>
      <c r="H46">
        <f>C46*Scenarios!$F$5</f>
        <v/>
      </c>
      <c r="I46">
        <f>L45*(1-D46)+H46</f>
        <v/>
      </c>
      <c r="J46">
        <f>MIN(Inputs!$C$25,I46)</f>
        <v/>
      </c>
      <c r="K46">
        <f>IF(A46&lt;Inputs!$C$17,0,Inputs!$C$16*(I46-J46))</f>
        <v/>
      </c>
      <c r="L46">
        <f>I46-J46-K46</f>
        <v/>
      </c>
      <c r="M46">
        <f>K46*Inputs!$C$18</f>
        <v/>
      </c>
      <c r="N46">
        <f>Q45*(1-D46)+H46</f>
        <v/>
      </c>
      <c r="O46">
        <f>IF(A46&lt;Inputs!$C$17,MIN(Inputs!$C$25,N46),0)</f>
        <v/>
      </c>
      <c r="P46">
        <f>IF(A46&lt;Inputs!$C$17,0,MIN(Inputs!$C$25,N46)+Inputs!$C$16*(N46-MIN(Inputs!$C$25,N46)))</f>
        <v/>
      </c>
      <c r="Q46">
        <f>N46-O46-P46</f>
        <v/>
      </c>
      <c r="R46">
        <f>P46*Inputs!$C$18</f>
        <v/>
      </c>
      <c r="S46">
        <f>Cohort!H45</f>
        <v/>
      </c>
      <c r="T46">
        <f>B46/S46</f>
        <v/>
      </c>
    </row>
    <row r="47">
      <c r="A47" t="n">
        <v>2044</v>
      </c>
      <c r="B47">
        <f>Cohort!B46*Scenarios!$F$4</f>
        <v/>
      </c>
      <c r="C47">
        <f>Cohort!C46*Scenarios!$F$4</f>
        <v/>
      </c>
      <c r="D47">
        <f>Cohort!D46</f>
        <v/>
      </c>
      <c r="E47">
        <f>Cohort!E46*Scenarios!$F$4</f>
        <v/>
      </c>
      <c r="F47">
        <f>Cohort!F46*Scenarios!$F$4</f>
        <v/>
      </c>
      <c r="G47">
        <f>Cohort!G46*Scenarios!$F$4</f>
        <v/>
      </c>
      <c r="H47">
        <f>C47*Scenarios!$F$5</f>
        <v/>
      </c>
      <c r="I47">
        <f>L46*(1-D47)+H47</f>
        <v/>
      </c>
      <c r="J47">
        <f>MIN(Inputs!$C$25,I47)</f>
        <v/>
      </c>
      <c r="K47">
        <f>IF(A47&lt;Inputs!$C$17,0,Inputs!$C$16*(I47-J47))</f>
        <v/>
      </c>
      <c r="L47">
        <f>I47-J47-K47</f>
        <v/>
      </c>
      <c r="M47">
        <f>K47*Inputs!$C$18</f>
        <v/>
      </c>
      <c r="N47">
        <f>Q46*(1-D47)+H47</f>
        <v/>
      </c>
      <c r="O47">
        <f>IF(A47&lt;Inputs!$C$17,MIN(Inputs!$C$25,N47),0)</f>
        <v/>
      </c>
      <c r="P47">
        <f>IF(A47&lt;Inputs!$C$17,0,MIN(Inputs!$C$25,N47)+Inputs!$C$16*(N47-MIN(Inputs!$C$25,N47)))</f>
        <v/>
      </c>
      <c r="Q47">
        <f>N47-O47-P47</f>
        <v/>
      </c>
      <c r="R47">
        <f>P47*Inputs!$C$18</f>
        <v/>
      </c>
      <c r="S47">
        <f>Cohort!H46</f>
        <v/>
      </c>
      <c r="T47">
        <f>B47/S47</f>
        <v/>
      </c>
    </row>
    <row r="48">
      <c r="A48" t="n">
        <v>2045</v>
      </c>
      <c r="B48">
        <f>Cohort!B47*Scenarios!$F$4</f>
        <v/>
      </c>
      <c r="C48">
        <f>Cohort!C47*Scenarios!$F$4</f>
        <v/>
      </c>
      <c r="D48">
        <f>Cohort!D47</f>
        <v/>
      </c>
      <c r="E48">
        <f>Cohort!E47*Scenarios!$F$4</f>
        <v/>
      </c>
      <c r="F48">
        <f>Cohort!F47*Scenarios!$F$4</f>
        <v/>
      </c>
      <c r="G48">
        <f>Cohort!G47*Scenarios!$F$4</f>
        <v/>
      </c>
      <c r="H48">
        <f>C48*Scenarios!$F$5</f>
        <v/>
      </c>
      <c r="I48">
        <f>L47*(1-D48)+H48</f>
        <v/>
      </c>
      <c r="J48">
        <f>MIN(Inputs!$C$25,I48)</f>
        <v/>
      </c>
      <c r="K48">
        <f>IF(A48&lt;Inputs!$C$17,0,Inputs!$C$16*(I48-J48))</f>
        <v/>
      </c>
      <c r="L48">
        <f>I48-J48-K48</f>
        <v/>
      </c>
      <c r="M48">
        <f>K48*Inputs!$C$18</f>
        <v/>
      </c>
      <c r="N48">
        <f>Q47*(1-D48)+H48</f>
        <v/>
      </c>
      <c r="O48">
        <f>IF(A48&lt;Inputs!$C$17,MIN(Inputs!$C$25,N48),0)</f>
        <v/>
      </c>
      <c r="P48">
        <f>IF(A48&lt;Inputs!$C$17,0,MIN(Inputs!$C$25,N48)+Inputs!$C$16*(N48-MIN(Inputs!$C$25,N48)))</f>
        <v/>
      </c>
      <c r="Q48">
        <f>N48-O48-P48</f>
        <v/>
      </c>
      <c r="R48">
        <f>P48*Inputs!$C$18</f>
        <v/>
      </c>
      <c r="S48">
        <f>Cohort!H47</f>
        <v/>
      </c>
      <c r="T48">
        <f>B48/S48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3" t="inlineStr">
        <is>
          <t>FY2026 by age band, central 8% case. B–D from the cohort model; E onward live.</t>
        </is>
      </c>
    </row>
    <row r="2">
      <c r="A2" s="1" t="inlineStr">
        <is>
          <t>Age band</t>
        </is>
      </c>
      <c r="B2" s="1" t="inlineStr">
        <is>
          <t>PD prevalent</t>
        </is>
      </c>
      <c r="C2" s="1" t="inlineStr">
        <is>
          <t>Alive, no dementia, under cap, ≥4 yrs</t>
        </is>
      </c>
      <c r="D2" s="1" t="inlineStr">
        <is>
          <t>… with motor complications</t>
        </is>
      </c>
      <c r="E2" s="1" t="inlineStr">
        <is>
          <t>Eligible, published screens (× dx × S1 × S2)</t>
        </is>
      </c>
      <c r="F2" s="1" t="inlineStr">
        <is>
          <t>Eligible, central (× g)</t>
        </is>
      </c>
      <c r="G2" s="1" t="inlineStr">
        <is>
          <t>Funnel (× P)</t>
        </is>
      </c>
      <c r="H2" s="1" t="inlineStr">
        <is>
          <t>Eligible % of band PD</t>
        </is>
      </c>
    </row>
    <row r="3">
      <c r="A3" t="inlineStr">
        <is>
          <t>&lt;50</t>
        </is>
      </c>
      <c r="B3" t="n">
        <v>8795.757646955068</v>
      </c>
      <c r="C3" t="n">
        <v>2484.85784966554</v>
      </c>
      <c r="D3" t="n">
        <v>1163.789383639386</v>
      </c>
      <c r="E3">
        <f>D3*Inputs!$C$8*Inputs!$C$10*Inputs!$C$11</f>
        <v/>
      </c>
      <c r="F3">
        <f>E3*Scenarios!$D$4</f>
        <v/>
      </c>
      <c r="G3">
        <f>F3*Scenarios!$D$5</f>
        <v/>
      </c>
      <c r="H3">
        <f>IF(B3&gt;0,F3/B3,0)</f>
        <v/>
      </c>
    </row>
    <row r="4">
      <c r="A4" t="inlineStr">
        <is>
          <t>50–59</t>
        </is>
      </c>
      <c r="B4" t="n">
        <v>39537.51043580515</v>
      </c>
      <c r="C4" t="n">
        <v>14885.65992023061</v>
      </c>
      <c r="D4" t="n">
        <v>8972.33671454766</v>
      </c>
      <c r="E4">
        <f>D4*Inputs!$C$8*Inputs!$C$10*Inputs!$C$11</f>
        <v/>
      </c>
      <c r="F4">
        <f>E4*Scenarios!$D$4</f>
        <v/>
      </c>
      <c r="G4">
        <f>F4*Scenarios!$D$5</f>
        <v/>
      </c>
      <c r="H4">
        <f>IF(B4&gt;0,F4/B4,0)</f>
        <v/>
      </c>
    </row>
    <row r="5">
      <c r="A5" t="inlineStr">
        <is>
          <t>60–64</t>
        </is>
      </c>
      <c r="B5" t="n">
        <v>56741.67213831064</v>
      </c>
      <c r="C5" t="n">
        <v>16502.45944732173</v>
      </c>
      <c r="D5" t="n">
        <v>10677.23448221009</v>
      </c>
      <c r="E5">
        <f>D5*Inputs!$C$8*Inputs!$C$10*Inputs!$C$11</f>
        <v/>
      </c>
      <c r="F5">
        <f>E5*Scenarios!$D$4</f>
        <v/>
      </c>
      <c r="G5">
        <f>F5*Scenarios!$D$5</f>
        <v/>
      </c>
      <c r="H5">
        <f>IF(B5&gt;0,F5/B5,0)</f>
        <v/>
      </c>
    </row>
    <row r="6">
      <c r="A6" t="inlineStr">
        <is>
          <t>65–69</t>
        </is>
      </c>
      <c r="B6" t="n">
        <v>92863.42070034574</v>
      </c>
      <c r="C6" t="n">
        <v>37802.19430650704</v>
      </c>
      <c r="D6" t="n">
        <v>22397.38137156862</v>
      </c>
      <c r="E6">
        <f>D6*Inputs!$C$8*Inputs!$C$10*Inputs!$C$11</f>
        <v/>
      </c>
      <c r="F6">
        <f>E6*Scenarios!$D$4</f>
        <v/>
      </c>
      <c r="G6">
        <f>F6*Scenarios!$D$5</f>
        <v/>
      </c>
      <c r="H6">
        <f>IF(B6&gt;0,F6/B6,0)</f>
        <v/>
      </c>
    </row>
    <row r="7">
      <c r="A7" t="inlineStr">
        <is>
          <t>70–74</t>
        </is>
      </c>
      <c r="B7" t="n">
        <v>154796.9800146738</v>
      </c>
      <c r="C7" t="n">
        <v>52072.8373242946</v>
      </c>
      <c r="D7" t="n">
        <v>34631.99509894732</v>
      </c>
      <c r="E7">
        <f>D7*Inputs!$C$8*Inputs!$C$10*Inputs!$C$11</f>
        <v/>
      </c>
      <c r="F7">
        <f>E7*Scenarios!$D$4</f>
        <v/>
      </c>
      <c r="G7">
        <f>F7*Scenarios!$D$5</f>
        <v/>
      </c>
      <c r="H7">
        <f>IF(B7&gt;0,F7/B7,0)</f>
        <v/>
      </c>
    </row>
    <row r="8">
      <c r="A8" t="inlineStr">
        <is>
          <t>75–79</t>
        </is>
      </c>
      <c r="B8" t="n">
        <v>197041.3175894992</v>
      </c>
      <c r="C8" t="n">
        <v>0</v>
      </c>
      <c r="D8" t="n">
        <v>0</v>
      </c>
      <c r="E8">
        <f>D8*Inputs!$C$8*Inputs!$C$10*Inputs!$C$11</f>
        <v/>
      </c>
      <c r="F8">
        <f>E8*Scenarios!$D$4</f>
        <v/>
      </c>
      <c r="G8">
        <f>F8*Scenarios!$D$5</f>
        <v/>
      </c>
      <c r="H8">
        <f>IF(B8&gt;0,F8/B8,0)</f>
        <v/>
      </c>
    </row>
    <row r="9">
      <c r="A9" t="inlineStr">
        <is>
          <t>80+</t>
        </is>
      </c>
      <c r="B9" t="n">
        <v>373046.1728457556</v>
      </c>
      <c r="C9" t="n">
        <v>0</v>
      </c>
      <c r="D9" t="n">
        <v>0</v>
      </c>
      <c r="E9">
        <f>D9*Inputs!$C$8*Inputs!$C$10*Inputs!$C$11</f>
        <v/>
      </c>
      <c r="F9">
        <f>E9*Scenarios!$D$4</f>
        <v/>
      </c>
      <c r="G9">
        <f>F9*Scenarios!$D$5</f>
        <v/>
      </c>
      <c r="H9">
        <f>IF(B9&gt;0,F9/B9,0)</f>
        <v/>
      </c>
    </row>
    <row r="10">
      <c r="A10" s="3" t="inlineStr">
        <is>
          <t>Total</t>
        </is>
      </c>
      <c r="B10">
        <f>SUM(B3:B9)</f>
        <v/>
      </c>
      <c r="C10">
        <f>SUM(C3:C9)</f>
        <v/>
      </c>
      <c r="D10">
        <f>SUM(D3:D9)</f>
        <v/>
      </c>
      <c r="E10">
        <f>SUM(E3:E9)</f>
        <v/>
      </c>
      <c r="F10">
        <f>SUM(F3:F9)</f>
        <v/>
      </c>
      <c r="G10">
        <f>SUM(G3:G9)</f>
        <v/>
      </c>
      <c r="H10">
        <f>F10/B10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3" t="inlineStr">
        <is>
          <t>One-at-a-time sensitivity, central 8% case (values from pd_pool_model.py). FY2040 class one-time demand, patients; P = calibrated product.</t>
        </is>
      </c>
    </row>
    <row r="2">
      <c r="A2" s="1" t="inlineStr">
        <is>
          <t>Input</t>
        </is>
      </c>
      <c r="B2" s="1" t="inlineStr">
        <is>
          <t>First value</t>
        </is>
      </c>
      <c r="C2" s="1" t="inlineStr">
        <is>
          <t>Second value</t>
        </is>
      </c>
      <c r="D2" s="1" t="inlineStr">
        <is>
          <t>A first</t>
        </is>
      </c>
      <c r="E2" s="1" t="inlineStr">
        <is>
          <t>A second</t>
        </is>
      </c>
      <c r="F2" s="1" t="inlineStr">
        <is>
          <t>B first</t>
        </is>
      </c>
      <c r="G2" s="1" t="inlineStr">
        <is>
          <t>B second</t>
        </is>
      </c>
      <c r="H2" s="1" t="inlineStr">
        <is>
          <t>P first</t>
        </is>
      </c>
      <c r="I2" s="1" t="inlineStr">
        <is>
          <t>P second</t>
        </is>
      </c>
    </row>
    <row r="3">
      <c r="A3" t="inlineStr">
        <is>
          <t>Base</t>
        </is>
      </c>
      <c r="D3" t="n">
        <v>1968.190863137456</v>
      </c>
      <c r="F3" t="n">
        <v>5359.690863137455</v>
      </c>
      <c r="H3" t="n">
        <v>0.2998353652082071</v>
      </c>
    </row>
    <row r="4">
      <c r="A4" t="inlineStr">
        <is>
          <t>Eligibility share (5% / 15%)</t>
        </is>
      </c>
      <c r="B4" t="n">
        <v>0.05</v>
      </c>
      <c r="C4" t="n">
        <v>0.15</v>
      </c>
      <c r="D4" t="n">
        <v>1968.190863137456</v>
      </c>
      <c r="E4" t="n">
        <v>1968.190863137455</v>
      </c>
      <c r="F4" t="n">
        <v>5359.690863137457</v>
      </c>
      <c r="G4" t="n">
        <v>5359.690863137455</v>
      </c>
      <c r="H4" t="n">
        <v>0.4797365843331314</v>
      </c>
      <c r="I4" t="n">
        <v>0.1599121947777105</v>
      </c>
    </row>
    <row r="5">
      <c r="A5" t="inlineStr">
        <is>
          <t>DBS under-cap target, FY2019 (3.0k / 4.5k)</t>
        </is>
      </c>
      <c r="B5" t="n">
        <v>0.75</v>
      </c>
      <c r="C5" t="n">
        <v>1.12781954887218</v>
      </c>
      <c r="D5" t="n">
        <v>1736.638996885991</v>
      </c>
      <c r="E5" t="n">
        <v>2611.487213362392</v>
      </c>
      <c r="F5" t="n">
        <v>4729.138996885991</v>
      </c>
      <c r="G5" t="n">
        <v>7111.487213362392</v>
      </c>
      <c r="H5" t="n">
        <v>0.2645606163601828</v>
      </c>
      <c r="I5" t="n">
        <v>0.3978355133235831</v>
      </c>
    </row>
    <row r="6">
      <c r="A6" t="inlineStr">
        <is>
          <t>Backlog draw-down after launch (25% / 100%)</t>
        </is>
      </c>
      <c r="B6" t="n">
        <v>0.25</v>
      </c>
      <c r="C6" t="n">
        <v>1</v>
      </c>
      <c r="D6" t="n">
        <v>1451.586884052682</v>
      </c>
      <c r="E6" t="n">
        <v>2389.676398097738</v>
      </c>
      <c r="F6" t="n">
        <v>4843.086884052682</v>
      </c>
      <c r="G6" t="n">
        <v>5781.176398097738</v>
      </c>
      <c r="H6" t="n">
        <v>0.2998353652082071</v>
      </c>
      <c r="I6" t="n">
        <v>0.2998353652082071</v>
      </c>
    </row>
    <row r="7">
      <c r="A7" t="inlineStr">
        <is>
          <t>Launch year (FY2031 / FY2028)</t>
        </is>
      </c>
      <c r="B7" t="n">
        <v>2031</v>
      </c>
      <c r="C7" t="n">
        <v>2028</v>
      </c>
      <c r="D7" t="n">
        <v>1968.634630140312</v>
      </c>
      <c r="E7" t="n">
        <v>1968.149220349385</v>
      </c>
      <c r="F7" t="n">
        <v>5360.134630140312</v>
      </c>
      <c r="G7" t="n">
        <v>5359.649220349384</v>
      </c>
      <c r="H7" t="n">
        <v>0.2998353652082071</v>
      </c>
      <c r="I7" t="n">
        <v>0.2998353652082071</v>
      </c>
    </row>
    <row r="8">
      <c r="A8" t="inlineStr">
        <is>
          <t>Age cap, shape only (70 / 80)</t>
        </is>
      </c>
      <c r="B8" t="n">
        <v>70</v>
      </c>
      <c r="C8" t="n">
        <v>80</v>
      </c>
      <c r="D8" t="n">
        <v>1936.95584891516</v>
      </c>
      <c r="E8" t="n">
        <v>1973.84447725041</v>
      </c>
      <c r="F8" t="n">
        <v>5328.45584891516</v>
      </c>
      <c r="G8" t="n">
        <v>5365.34447725041</v>
      </c>
      <c r="H8" t="n">
        <v>0.2697629448210233</v>
      </c>
      <c r="I8" t="n">
        <v>0.3058924942749795</v>
      </c>
    </row>
    <row r="9">
      <c r="A9" t="inlineStr">
        <is>
          <t>Mortality ratio (1.86 / 1.29)</t>
        </is>
      </c>
      <c r="B9" t="n">
        <v>1.86</v>
      </c>
      <c r="C9" t="n">
        <v>1.29</v>
      </c>
      <c r="D9" t="n">
        <v>1964.535153038343</v>
      </c>
      <c r="E9" t="n">
        <v>1970.670402179278</v>
      </c>
      <c r="F9" t="n">
        <v>5356.035153038343</v>
      </c>
      <c r="G9" t="n">
        <v>5362.170402179278</v>
      </c>
      <c r="H9" t="n">
        <v>0.3227515690266873</v>
      </c>
      <c r="I9" t="n">
        <v>0.2829264688194847</v>
      </c>
    </row>
    <row r="10">
      <c r="A10" t="inlineStr">
        <is>
          <t>Disease duration floor (5 / 0 yrs)</t>
        </is>
      </c>
      <c r="B10" t="n">
        <v>5</v>
      </c>
      <c r="C10" t="n">
        <v>0</v>
      </c>
      <c r="D10" t="n">
        <v>1974.250030092641</v>
      </c>
      <c r="E10" t="n">
        <v>1965.175468484571</v>
      </c>
      <c r="F10" t="n">
        <v>5365.75003009264</v>
      </c>
      <c r="G10" t="n">
        <v>5356.675468484571</v>
      </c>
      <c r="H10" t="n">
        <v>0.3063350518041989</v>
      </c>
      <c r="I10" t="n">
        <v>0.296688169871416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4" max="4"/>
  </cols>
  <sheetData>
    <row r="1">
      <c r="A1" s="1" t="inlineStr">
        <is>
          <t>Check</t>
        </is>
      </c>
      <c r="B1" s="1" t="inlineStr">
        <is>
          <t>Target / published</t>
        </is>
      </c>
      <c r="C1" s="1" t="inlineStr">
        <is>
          <t>Model</t>
        </is>
      </c>
      <c r="D1" s="1" t="inlineStr">
        <is>
          <t>Note</t>
        </is>
      </c>
    </row>
    <row r="2">
      <c r="A2" t="inlineStr">
        <is>
          <t>PD prevalent 2020</t>
        </is>
      </c>
      <c r="B2" t="n">
        <v>930000</v>
      </c>
      <c r="C2">
        <f>Cohort!H22</f>
        <v/>
      </c>
      <c r="D2" t="inlineStr">
        <is>
          <t>Marras 2018 minimum [A19]</t>
        </is>
      </c>
    </row>
    <row r="3">
      <c r="A3" t="inlineStr">
        <is>
          <t>PD prevalent 2030</t>
        </is>
      </c>
      <c r="B3" t="n">
        <v>1238000</v>
      </c>
      <c r="C3">
        <f>Cohort!H32</f>
        <v/>
      </c>
      <c r="D3" t="inlineStr">
        <is>
          <t>Marras 2018 [A19]</t>
        </is>
      </c>
    </row>
    <row r="4">
      <c r="A4" t="inlineStr">
        <is>
          <t>DBS under cap FY2019 vs central A: DBS</t>
        </is>
      </c>
      <c r="B4">
        <f>Inputs!$C$25</f>
        <v/>
      </c>
      <c r="C4">
        <f>'Flow 8%'!J22</f>
        <v/>
      </c>
      <c r="D4" t="inlineStr">
        <is>
          <t>Calibration identity</t>
        </is>
      </c>
    </row>
    <row r="5">
      <c r="A5" t="inlineStr">
        <is>
          <t>Funnel inflow FY2019 (central)</t>
        </is>
      </c>
      <c r="B5">
        <f>Inputs!$C$25</f>
        <v/>
      </c>
      <c r="C5">
        <f>'Flow 8%'!H22</f>
        <v/>
      </c>
      <c r="D5" t="inlineStr">
        <is>
          <t>Equals DBS under cap by construction</t>
        </is>
      </c>
    </row>
    <row r="6">
      <c r="A6" t="inlineStr">
        <is>
          <t>Ever-DBS share of incidence</t>
        </is>
      </c>
      <c r="B6">
        <f>Inputs!$C$22</f>
        <v/>
      </c>
      <c r="C6">
        <f>Scenarios!D11</f>
        <v/>
      </c>
      <c r="D6" t="inlineStr">
        <is>
          <t>Olmsted 4.8% all ages vs model under cap</t>
        </is>
      </c>
    </row>
    <row r="7">
      <c r="A7" t="inlineStr">
        <is>
          <t>Central eligible % of PD FY2026</t>
        </is>
      </c>
      <c r="B7">
        <f>Scenarios!D3</f>
        <v/>
      </c>
      <c r="C7">
        <f>'Age-band funnel'!H10</f>
        <v/>
      </c>
      <c r="D7" t="inlineStr">
        <is>
          <t>Should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2026-10-24T21:06:15Z</dcterms:created>
  <dcterms:modified xmlns:dcterms="http://purl.org/dc/terms/" xmlns:xsi="http://www.w3.org/2001/XMLSchema-instance" xsi:type="dcterms:W3CDTF">2026-10-24T21:06:15Z</dcterms:modified>
</cp:coreProperties>
</file>