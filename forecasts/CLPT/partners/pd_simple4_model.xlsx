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US class-level eligible pool for a one-time PD therapy; single base case; FY2026-45.</t>
        </is>
      </c>
    </row>
    <row r="2">
      <c r="A2" t="inlineStr">
        <is>
          <t>Start: published US PD prevalence (Marras 2018, minimum estimates) grown log-linearly to FY2026.</t>
        </is>
      </c>
    </row>
    <row r="3">
      <c r="A3" t="inlineStr">
        <is>
          <t>Screens: diagnosed &gt;=4 yrs and no dementia (joint), motor complications, levodopa-responsive, fit. No age cap.</t>
        </is>
      </c>
    </row>
    <row r="4">
      <c r="A4" t="inlineStr">
        <is>
          <t>DBS and one-time therapy are not mutually exclusive: DBS patients stay in the pool; DBS (3,990/yr) is context only.</t>
        </is>
      </c>
    </row>
    <row r="5">
      <c r="A5" t="inlineStr">
        <is>
          <t>Each year: Pool end = Pool start + Entrants - Leavers - Treated.</t>
        </is>
      </c>
    </row>
    <row r="6">
      <c r="A6" t="inlineStr">
        <is>
          <t>Leavers = m x pool start; m = death rate + dementia incidence (published).</t>
        </is>
      </c>
    </row>
    <row r="7">
      <c r="A7" t="inlineStr">
        <is>
          <t>Entrants = (m + g) x starting pool, so before launch the pool grows at g; entrants then grow at g.</t>
        </is>
      </c>
    </row>
    <row r="8">
      <c r="A8" t="inlineStr">
        <is>
          <t>Treated (one-time therapy) = 0 before launch; from FY2029 a fixed 6% of the pool start (about 2.7x the DBS rate of 2.2%).</t>
        </is>
      </c>
    </row>
    <row r="9">
      <c r="A9" t="inlineStr">
        <is>
          <t>Steady state: treated / entrants -&gt; u/(m+u+g); a cohort's lifetime share is u/(m+u).</t>
        </is>
      </c>
    </row>
    <row r="10">
      <c r="A10" t="inlineStr">
        <is>
          <t>Tags: A published, C calculated, S judgment. Every input with its source is on the Inputs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12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US PD prevalence 2020 (age 45+, minimum)</t>
        </is>
      </c>
      <c r="B2" s="2" t="n">
        <v>930000</v>
      </c>
      <c r="C2" t="inlineStr">
        <is>
          <t>A</t>
        </is>
      </c>
      <c r="D2" t="inlineStr">
        <is>
          <t>Marras 2018 https://doi.org/10.1038/s41531-018-0058-0</t>
        </is>
      </c>
    </row>
    <row r="3">
      <c r="A3" t="inlineStr">
        <is>
          <t>US PD prevalence 2030 (age 45+, minimum)</t>
        </is>
      </c>
      <c r="B3" s="2" t="n">
        <v>1238000</v>
      </c>
      <c r="C3" t="inlineStr">
        <is>
          <t>A</t>
        </is>
      </c>
      <c r="D3" t="inlineStr">
        <is>
          <t>Marras 2018 https://doi.org/10.1038/s41531-018-0058-0</t>
        </is>
      </c>
    </row>
    <row r="4">
      <c r="A4" t="inlineStr">
        <is>
          <t>Growth of prevalence and entrants, per year</t>
        </is>
      </c>
      <c r="B4" s="3">
        <f>(B3/B2)^(1/10)-1</f>
        <v/>
      </c>
      <c r="C4" t="inlineStr">
        <is>
          <t>C</t>
        </is>
      </c>
      <c r="D4" t="inlineStr">
        <is>
          <t>log-linear between Marras 2020 and 2030</t>
        </is>
      </c>
    </row>
    <row r="5">
      <c r="A5" t="inlineStr">
        <is>
          <t>US PD prevalence FY2026</t>
        </is>
      </c>
      <c r="B5" s="2">
        <f>B2*(1+B4)^6</f>
        <v/>
      </c>
      <c r="C5" t="inlineStr">
        <is>
          <t>C</t>
        </is>
      </c>
      <c r="D5" t="inlineStr">
        <is>
          <t>Marras 2020 grown 6 years at g</t>
        </is>
      </c>
    </row>
    <row r="6">
      <c r="A6" t="inlineStr">
        <is>
          <t>Death rate in PD, per year</t>
        </is>
      </c>
      <c r="B6" s="3" t="n">
        <v>0.05</v>
      </c>
      <c r="C6" t="inlineStr">
        <is>
          <t>A</t>
        </is>
      </c>
      <c r="D6" t="inlineStr">
        <is>
          <t>Macleod 2014: survival falls ~5% per year of follow-up https://doi.org/10.1002/mds.25898</t>
        </is>
      </c>
    </row>
    <row r="7">
      <c r="A7" t="inlineStr">
        <is>
          <t>Dementia point prevalence in PD</t>
        </is>
      </c>
      <c r="B7" s="4" t="n">
        <v>0.28</v>
      </c>
      <c r="C7" t="inlineStr">
        <is>
          <t>A/S</t>
        </is>
      </c>
      <c r="D7" t="inlineStr">
        <is>
          <t>Aarsland 2005: 24.5% (all studies) to 31.1% (best studies); midpoint https://doi.org/10.1002/mds.20527</t>
        </is>
      </c>
    </row>
    <row r="8">
      <c r="A8" t="inlineStr">
        <is>
          <t>Share of prevalent PD diagnosed &gt;=4 years</t>
        </is>
      </c>
      <c r="B8" s="4">
        <f>EXP(-4*(B6+B4))</f>
        <v/>
      </c>
      <c r="C8" t="inlineStr">
        <is>
          <t>C</t>
        </is>
      </c>
      <c r="D8" t="inlineStr">
        <is>
          <t>survival e^(-d t) weighted for growth g; check: prevalence/incidence 1.1M/90k = 12 yr mean</t>
        </is>
      </c>
    </row>
    <row r="9">
      <c r="A9" t="inlineStr">
        <is>
          <t>Motor complications among non-demented &gt;=4 yrs</t>
        </is>
      </c>
      <c r="B9" s="4" t="n">
        <v>0.5</v>
      </c>
      <c r="C9" t="inlineStr">
        <is>
          <t>S</t>
        </is>
      </c>
      <c r="D9" t="inlineStr">
        <is>
          <t>anchored: off periods 35% at 4-6 yrs, 59% at 8-10 yrs https://pmc.ncbi.nlm.nih.gov/articles/PMC11145112/; fluctuations 54% at 5 yrs https://pmc.ncbi.nlm.nih.gov/articles/PMC7063985/</t>
        </is>
      </c>
    </row>
    <row r="10">
      <c r="A10" t="inlineStr">
        <is>
          <t>Confirmed levodopa-responsive idiopathic PD</t>
        </is>
      </c>
      <c r="B10" s="3" t="n">
        <v>0.806</v>
      </c>
      <c r="C10" t="inlineStr">
        <is>
          <t>A</t>
        </is>
      </c>
      <c r="D10" t="inlineStr">
        <is>
          <t>Rizzo 2016 clinical-diagnosis accuracy (proxy) https://doi.org/10.1212/WNL.0000000000002350</t>
        </is>
      </c>
    </row>
    <row r="11">
      <c r="A11" t="inlineStr">
        <is>
          <t>Medically fit for neurosurgery</t>
        </is>
      </c>
      <c r="B11" s="4" t="n">
        <v>0.9</v>
      </c>
      <c r="C11" t="inlineStr">
        <is>
          <t>S</t>
        </is>
      </c>
      <c r="D11" t="inlineStr">
        <is>
          <t>judgment; no published population figure</t>
        </is>
      </c>
    </row>
    <row r="12">
      <c r="A12" t="inlineStr">
        <is>
          <t>Dementia incidence in PD, per year</t>
        </is>
      </c>
      <c r="B12" s="3" t="n">
        <v>0.045</v>
      </c>
      <c r="C12" t="inlineStr">
        <is>
          <t>A</t>
        </is>
      </c>
      <c r="D12" t="inlineStr">
        <is>
          <t>Gibson 2024 meta-analysis: 4.45 per 100 person-years https://doi.org/10.1002/mds.29918</t>
        </is>
      </c>
    </row>
    <row r="13">
      <c r="A13" t="inlineStr">
        <is>
          <t>Leave rate m (death + dementia)</t>
        </is>
      </c>
      <c r="B13" s="5">
        <f>B6+B12</f>
        <v/>
      </c>
      <c r="C13" t="inlineStr">
        <is>
          <t>C</t>
        </is>
      </c>
      <c r="D13" t="inlineStr">
        <is>
          <t>sum of the two rates</t>
        </is>
      </c>
    </row>
    <row r="14">
      <c r="A14" t="inlineStr">
        <is>
          <t>DBS procedures for PD per year (context only; not deducted)</t>
        </is>
      </c>
      <c r="B14" s="2" t="n">
        <v>3990</v>
      </c>
      <c r="C14" t="inlineStr">
        <is>
          <t>A</t>
        </is>
      </c>
      <c r="D14" t="inlineStr">
        <is>
          <t>Venkatraman 2024, NIS 2019 https://pmc.ncbi.nlm.nih.gov/articles/PMC10898494/</t>
        </is>
      </c>
    </row>
    <row r="15">
      <c r="A15" t="inlineStr">
        <is>
          <t>Share of pool given one-time therapy per year from launch</t>
        </is>
      </c>
      <c r="B15" s="4" t="n">
        <v>0.06</v>
      </c>
      <c r="C15" t="inlineStr">
        <is>
          <t>S</t>
        </is>
      </c>
      <c r="D15" t="inlineStr">
        <is>
          <t>judgment: about 2.7x the measured DBS rate (3,990 DBS a year / medically eligible pool of ~180,000 = 2.2%); many more patients expected to choose a one-time disease-modifying therapy than symptomatic hardware surgery. No published willingness study supports the multiple.</t>
        </is>
      </c>
    </row>
    <row r="16">
      <c r="A16" t="inlineStr">
        <is>
          <t>Launch fiscal year</t>
        </is>
      </c>
      <c r="B16" s="6" t="n">
        <v>2029</v>
      </c>
      <c r="C16" t="inlineStr">
        <is>
          <t>S</t>
        </is>
      </c>
      <c r="D16" t="inlineStr">
        <is>
          <t>assumption</t>
        </is>
      </c>
    </row>
    <row r="17">
      <c r="A17" t="inlineStr">
        <is>
          <t>Price per patient, $ (illustration)</t>
        </is>
      </c>
      <c r="B17" s="2" t="n">
        <v>20000</v>
      </c>
      <c r="C17" t="inlineStr">
        <is>
          <t>S</t>
        </is>
      </c>
      <c r="D17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Starting pool</t>
        </is>
      </c>
    </row>
    <row r="2">
      <c r="A2" t="inlineStr">
        <is>
          <t>US PD prevalence FY2026</t>
        </is>
      </c>
      <c r="B2" s="2">
        <f>Inputs!$B$5</f>
        <v/>
      </c>
    </row>
    <row r="3">
      <c r="A3" t="inlineStr">
        <is>
          <t>x (diagnosed &gt;=4 yrs minus dementia) = no dementia and &gt;=4 yrs</t>
        </is>
      </c>
      <c r="B3" s="2">
        <f>B2*(Inputs!$B$8-Inputs!$B$7)</f>
        <v/>
      </c>
    </row>
    <row r="4">
      <c r="A4" t="inlineStr">
        <is>
          <t>x motor complications</t>
        </is>
      </c>
      <c r="B4" s="2">
        <f>B3*Inputs!$B$9</f>
        <v/>
      </c>
    </row>
    <row r="5">
      <c r="A5" t="inlineStr">
        <is>
          <t>x levodopa-responsive</t>
        </is>
      </c>
      <c r="B5" s="2">
        <f>B4*Inputs!$B$10</f>
        <v/>
      </c>
    </row>
    <row r="6">
      <c r="A6" t="inlineStr">
        <is>
          <t>x medically fit = medically eligible</t>
        </is>
      </c>
      <c r="B6" s="2">
        <f>B5*Inputs!$B$11</f>
        <v/>
      </c>
    </row>
    <row r="7">
      <c r="A7" t="inlineStr">
        <is>
          <t>DBS per year / eligible pool (context)</t>
        </is>
      </c>
      <c r="B7" s="3">
        <f>Inputs!$B$14/B6</f>
        <v/>
      </c>
    </row>
    <row r="8">
      <c r="A8" t="inlineStr">
        <is>
          <t>Eligible pool, start FY2026 (DBS patients included)</t>
        </is>
      </c>
      <c r="B8" s="2">
        <f>B6</f>
        <v/>
      </c>
    </row>
    <row r="9">
      <c r="A9" t="inlineStr">
        <is>
          <t>Entrants FY2026 = (m+g) x pool</t>
        </is>
      </c>
      <c r="B9" s="2">
        <f>(Inputs!$B$13+Inputs!$B$4)*B8</f>
        <v/>
      </c>
    </row>
    <row r="10">
      <c r="A10" t="inlineStr">
        <is>
          <t>Eligible share of PD</t>
        </is>
      </c>
      <c r="B10" s="3">
        <f>B6/B2</f>
        <v/>
      </c>
    </row>
    <row r="11">
      <c r="A11" t="inlineStr">
        <is>
          <t>Steady-state share of entrants treated u/(m+u+g)</t>
        </is>
      </c>
      <c r="B11" s="3">
        <f>Inputs!$B$15/(Inputs!$B$13+Inputs!$B$15+Inputs!$B$4)</f>
        <v/>
      </c>
    </row>
    <row r="12">
      <c r="A12" t="inlineStr">
        <is>
          <t>Cohort lifetime share treated u/(m+u)</t>
        </is>
      </c>
      <c r="B12" s="3">
        <f>Inputs!$B$15/(Inputs!$B$13+Inputs!$B$15)</f>
        <v/>
      </c>
    </row>
    <row r="15">
      <c r="A15" s="1" t="inlineStr">
        <is>
          <t>FY</t>
        </is>
      </c>
      <c r="B15" s="1" t="inlineStr">
        <is>
          <t>Pool start</t>
        </is>
      </c>
      <c r="C15" s="1" t="inlineStr">
        <is>
          <t>Entrants</t>
        </is>
      </c>
      <c r="D15" s="1" t="inlineStr">
        <is>
          <t>Leavers</t>
        </is>
      </c>
      <c r="E15" s="1" t="inlineStr">
        <is>
          <t>Treated</t>
        </is>
      </c>
      <c r="F15" s="1" t="inlineStr">
        <is>
          <t>Pool end</t>
        </is>
      </c>
      <c r="G15" s="1" t="inlineStr">
        <is>
          <t>Treated/Entrants</t>
        </is>
      </c>
      <c r="H15" s="1" t="inlineStr">
        <is>
          <t>Revenue $M</t>
        </is>
      </c>
      <c r="I15" s="1" t="inlineStr">
        <is>
          <t>DBS (context)</t>
        </is>
      </c>
    </row>
    <row r="16">
      <c r="A16" t="n">
        <v>2026</v>
      </c>
      <c r="B16" s="2">
        <f>B8</f>
        <v/>
      </c>
      <c r="C16" s="2">
        <f>$B$9*(1+Inputs!$B$4)^(A16-2026)</f>
        <v/>
      </c>
      <c r="D16" s="2">
        <f>Inputs!$B$13*B16</f>
        <v/>
      </c>
      <c r="E16" s="2">
        <f>IF(A16&lt;Inputs!$B$16,0,Inputs!$B$15*B16)</f>
        <v/>
      </c>
      <c r="F16" s="2">
        <f>B16+C16-D16-E16</f>
        <v/>
      </c>
      <c r="G16" s="8">
        <f>E16/C16</f>
        <v/>
      </c>
      <c r="H16" s="2">
        <f>E16*Inputs!$B$17/1e6</f>
        <v/>
      </c>
      <c r="I16">
        <f>Inputs!$B$14</f>
        <v/>
      </c>
    </row>
    <row r="17">
      <c r="A17" t="n">
        <v>2027</v>
      </c>
      <c r="B17" s="2">
        <f>F16</f>
        <v/>
      </c>
      <c r="C17" s="2">
        <f>$B$9*(1+Inputs!$B$4)^(A17-2026)</f>
        <v/>
      </c>
      <c r="D17" s="2">
        <f>Inputs!$B$13*B17</f>
        <v/>
      </c>
      <c r="E17" s="2">
        <f>IF(A17&lt;Inputs!$B$16,0,Inputs!$B$15*B17)</f>
        <v/>
      </c>
      <c r="F17" s="2">
        <f>B17+C17-D17-E17</f>
        <v/>
      </c>
      <c r="G17" s="8">
        <f>E17/C17</f>
        <v/>
      </c>
      <c r="H17" s="2">
        <f>E17*Inputs!$B$17/1e6</f>
        <v/>
      </c>
      <c r="I17">
        <f>Inputs!$B$14</f>
        <v/>
      </c>
    </row>
    <row r="18">
      <c r="A18" t="n">
        <v>2028</v>
      </c>
      <c r="B18" s="2">
        <f>F17</f>
        <v/>
      </c>
      <c r="C18" s="2">
        <f>$B$9*(1+Inputs!$B$4)^(A18-2026)</f>
        <v/>
      </c>
      <c r="D18" s="2">
        <f>Inputs!$B$13*B18</f>
        <v/>
      </c>
      <c r="E18" s="2">
        <f>IF(A18&lt;Inputs!$B$16,0,Inputs!$B$15*B18)</f>
        <v/>
      </c>
      <c r="F18" s="2">
        <f>B18+C18-D18-E18</f>
        <v/>
      </c>
      <c r="G18" s="8">
        <f>E18/C18</f>
        <v/>
      </c>
      <c r="H18" s="2">
        <f>E18*Inputs!$B$17/1e6</f>
        <v/>
      </c>
      <c r="I18">
        <f>Inputs!$B$14</f>
        <v/>
      </c>
    </row>
    <row r="19">
      <c r="A19" t="n">
        <v>2029</v>
      </c>
      <c r="B19" s="2">
        <f>F18</f>
        <v/>
      </c>
      <c r="C19" s="2">
        <f>$B$9*(1+Inputs!$B$4)^(A19-2026)</f>
        <v/>
      </c>
      <c r="D19" s="2">
        <f>Inputs!$B$13*B19</f>
        <v/>
      </c>
      <c r="E19" s="2">
        <f>IF(A19&lt;Inputs!$B$16,0,Inputs!$B$15*B19)</f>
        <v/>
      </c>
      <c r="F19" s="2">
        <f>B19+C19-D19-E19</f>
        <v/>
      </c>
      <c r="G19" s="8">
        <f>E19/C19</f>
        <v/>
      </c>
      <c r="H19" s="2">
        <f>E19*Inputs!$B$17/1e6</f>
        <v/>
      </c>
      <c r="I19">
        <f>Inputs!$B$14</f>
        <v/>
      </c>
    </row>
    <row r="20">
      <c r="A20" t="n">
        <v>2030</v>
      </c>
      <c r="B20" s="2">
        <f>F19</f>
        <v/>
      </c>
      <c r="C20" s="2">
        <f>$B$9*(1+Inputs!$B$4)^(A20-2026)</f>
        <v/>
      </c>
      <c r="D20" s="2">
        <f>Inputs!$B$13*B20</f>
        <v/>
      </c>
      <c r="E20" s="2">
        <f>IF(A20&lt;Inputs!$B$16,0,Inputs!$B$15*B20)</f>
        <v/>
      </c>
      <c r="F20" s="2">
        <f>B20+C20-D20-E20</f>
        <v/>
      </c>
      <c r="G20" s="8">
        <f>E20/C20</f>
        <v/>
      </c>
      <c r="H20" s="2">
        <f>E20*Inputs!$B$17/1e6</f>
        <v/>
      </c>
      <c r="I20">
        <f>Inputs!$B$14</f>
        <v/>
      </c>
    </row>
    <row r="21">
      <c r="A21" t="n">
        <v>2031</v>
      </c>
      <c r="B21" s="2">
        <f>F20</f>
        <v/>
      </c>
      <c r="C21" s="2">
        <f>$B$9*(1+Inputs!$B$4)^(A21-2026)</f>
        <v/>
      </c>
      <c r="D21" s="2">
        <f>Inputs!$B$13*B21</f>
        <v/>
      </c>
      <c r="E21" s="2">
        <f>IF(A21&lt;Inputs!$B$16,0,Inputs!$B$15*B21)</f>
        <v/>
      </c>
      <c r="F21" s="2">
        <f>B21+C21-D21-E21</f>
        <v/>
      </c>
      <c r="G21" s="8">
        <f>E21/C21</f>
        <v/>
      </c>
      <c r="H21" s="2">
        <f>E21*Inputs!$B$17/1e6</f>
        <v/>
      </c>
      <c r="I21">
        <f>Inputs!$B$14</f>
        <v/>
      </c>
    </row>
    <row r="22">
      <c r="A22" t="n">
        <v>2032</v>
      </c>
      <c r="B22" s="2">
        <f>F21</f>
        <v/>
      </c>
      <c r="C22" s="2">
        <f>$B$9*(1+Inputs!$B$4)^(A22-2026)</f>
        <v/>
      </c>
      <c r="D22" s="2">
        <f>Inputs!$B$13*B22</f>
        <v/>
      </c>
      <c r="E22" s="2">
        <f>IF(A22&lt;Inputs!$B$16,0,Inputs!$B$15*B22)</f>
        <v/>
      </c>
      <c r="F22" s="2">
        <f>B22+C22-D22-E22</f>
        <v/>
      </c>
      <c r="G22" s="8">
        <f>E22/C22</f>
        <v/>
      </c>
      <c r="H22" s="2">
        <f>E22*Inputs!$B$17/1e6</f>
        <v/>
      </c>
      <c r="I22">
        <f>Inputs!$B$14</f>
        <v/>
      </c>
    </row>
    <row r="23">
      <c r="A23" t="n">
        <v>2033</v>
      </c>
      <c r="B23" s="2">
        <f>F22</f>
        <v/>
      </c>
      <c r="C23" s="2">
        <f>$B$9*(1+Inputs!$B$4)^(A23-2026)</f>
        <v/>
      </c>
      <c r="D23" s="2">
        <f>Inputs!$B$13*B23</f>
        <v/>
      </c>
      <c r="E23" s="2">
        <f>IF(A23&lt;Inputs!$B$16,0,Inputs!$B$15*B23)</f>
        <v/>
      </c>
      <c r="F23" s="2">
        <f>B23+C23-D23-E23</f>
        <v/>
      </c>
      <c r="G23" s="8">
        <f>E23/C23</f>
        <v/>
      </c>
      <c r="H23" s="2">
        <f>E23*Inputs!$B$17/1e6</f>
        <v/>
      </c>
      <c r="I23">
        <f>Inputs!$B$14</f>
        <v/>
      </c>
    </row>
    <row r="24">
      <c r="A24" t="n">
        <v>2034</v>
      </c>
      <c r="B24" s="2">
        <f>F23</f>
        <v/>
      </c>
      <c r="C24" s="2">
        <f>$B$9*(1+Inputs!$B$4)^(A24-2026)</f>
        <v/>
      </c>
      <c r="D24" s="2">
        <f>Inputs!$B$13*B24</f>
        <v/>
      </c>
      <c r="E24" s="2">
        <f>IF(A24&lt;Inputs!$B$16,0,Inputs!$B$15*B24)</f>
        <v/>
      </c>
      <c r="F24" s="2">
        <f>B24+C24-D24-E24</f>
        <v/>
      </c>
      <c r="G24" s="8">
        <f>E24/C24</f>
        <v/>
      </c>
      <c r="H24" s="2">
        <f>E24*Inputs!$B$17/1e6</f>
        <v/>
      </c>
      <c r="I24">
        <f>Inputs!$B$14</f>
        <v/>
      </c>
    </row>
    <row r="25">
      <c r="A25" t="n">
        <v>2035</v>
      </c>
      <c r="B25" s="2">
        <f>F24</f>
        <v/>
      </c>
      <c r="C25" s="2">
        <f>$B$9*(1+Inputs!$B$4)^(A25-2026)</f>
        <v/>
      </c>
      <c r="D25" s="2">
        <f>Inputs!$B$13*B25</f>
        <v/>
      </c>
      <c r="E25" s="2">
        <f>IF(A25&lt;Inputs!$B$16,0,Inputs!$B$15*B25)</f>
        <v/>
      </c>
      <c r="F25" s="2">
        <f>B25+C25-D25-E25</f>
        <v/>
      </c>
      <c r="G25" s="8">
        <f>E25/C25</f>
        <v/>
      </c>
      <c r="H25" s="2">
        <f>E25*Inputs!$B$17/1e6</f>
        <v/>
      </c>
      <c r="I25">
        <f>Inputs!$B$14</f>
        <v/>
      </c>
    </row>
    <row r="26">
      <c r="A26" t="n">
        <v>2036</v>
      </c>
      <c r="B26" s="2">
        <f>F25</f>
        <v/>
      </c>
      <c r="C26" s="2">
        <f>$B$9*(1+Inputs!$B$4)^(A26-2026)</f>
        <v/>
      </c>
      <c r="D26" s="2">
        <f>Inputs!$B$13*B26</f>
        <v/>
      </c>
      <c r="E26" s="2">
        <f>IF(A26&lt;Inputs!$B$16,0,Inputs!$B$15*B26)</f>
        <v/>
      </c>
      <c r="F26" s="2">
        <f>B26+C26-D26-E26</f>
        <v/>
      </c>
      <c r="G26" s="8">
        <f>E26/C26</f>
        <v/>
      </c>
      <c r="H26" s="2">
        <f>E26*Inputs!$B$17/1e6</f>
        <v/>
      </c>
      <c r="I26">
        <f>Inputs!$B$14</f>
        <v/>
      </c>
    </row>
    <row r="27">
      <c r="A27" t="n">
        <v>2037</v>
      </c>
      <c r="B27" s="2">
        <f>F26</f>
        <v/>
      </c>
      <c r="C27" s="2">
        <f>$B$9*(1+Inputs!$B$4)^(A27-2026)</f>
        <v/>
      </c>
      <c r="D27" s="2">
        <f>Inputs!$B$13*B27</f>
        <v/>
      </c>
      <c r="E27" s="2">
        <f>IF(A27&lt;Inputs!$B$16,0,Inputs!$B$15*B27)</f>
        <v/>
      </c>
      <c r="F27" s="2">
        <f>B27+C27-D27-E27</f>
        <v/>
      </c>
      <c r="G27" s="8">
        <f>E27/C27</f>
        <v/>
      </c>
      <c r="H27" s="2">
        <f>E27*Inputs!$B$17/1e6</f>
        <v/>
      </c>
      <c r="I27">
        <f>Inputs!$B$14</f>
        <v/>
      </c>
    </row>
    <row r="28">
      <c r="A28" t="n">
        <v>2038</v>
      </c>
      <c r="B28" s="2">
        <f>F27</f>
        <v/>
      </c>
      <c r="C28" s="2">
        <f>$B$9*(1+Inputs!$B$4)^(A28-2026)</f>
        <v/>
      </c>
      <c r="D28" s="2">
        <f>Inputs!$B$13*B28</f>
        <v/>
      </c>
      <c r="E28" s="2">
        <f>IF(A28&lt;Inputs!$B$16,0,Inputs!$B$15*B28)</f>
        <v/>
      </c>
      <c r="F28" s="2">
        <f>B28+C28-D28-E28</f>
        <v/>
      </c>
      <c r="G28" s="8">
        <f>E28/C28</f>
        <v/>
      </c>
      <c r="H28" s="2">
        <f>E28*Inputs!$B$17/1e6</f>
        <v/>
      </c>
      <c r="I28">
        <f>Inputs!$B$14</f>
        <v/>
      </c>
    </row>
    <row r="29">
      <c r="A29" t="n">
        <v>2039</v>
      </c>
      <c r="B29" s="2">
        <f>F28</f>
        <v/>
      </c>
      <c r="C29" s="2">
        <f>$B$9*(1+Inputs!$B$4)^(A29-2026)</f>
        <v/>
      </c>
      <c r="D29" s="2">
        <f>Inputs!$B$13*B29</f>
        <v/>
      </c>
      <c r="E29" s="2">
        <f>IF(A29&lt;Inputs!$B$16,0,Inputs!$B$15*B29)</f>
        <v/>
      </c>
      <c r="F29" s="2">
        <f>B29+C29-D29-E29</f>
        <v/>
      </c>
      <c r="G29" s="8">
        <f>E29/C29</f>
        <v/>
      </c>
      <c r="H29" s="2">
        <f>E29*Inputs!$B$17/1e6</f>
        <v/>
      </c>
      <c r="I29">
        <f>Inputs!$B$14</f>
        <v/>
      </c>
    </row>
    <row r="30">
      <c r="A30" t="n">
        <v>2040</v>
      </c>
      <c r="B30" s="2">
        <f>F29</f>
        <v/>
      </c>
      <c r="C30" s="2">
        <f>$B$9*(1+Inputs!$B$4)^(A30-2026)</f>
        <v/>
      </c>
      <c r="D30" s="2">
        <f>Inputs!$B$13*B30</f>
        <v/>
      </c>
      <c r="E30" s="2">
        <f>IF(A30&lt;Inputs!$B$16,0,Inputs!$B$15*B30)</f>
        <v/>
      </c>
      <c r="F30" s="2">
        <f>B30+C30-D30-E30</f>
        <v/>
      </c>
      <c r="G30" s="8">
        <f>E30/C30</f>
        <v/>
      </c>
      <c r="H30" s="2">
        <f>E30*Inputs!$B$17/1e6</f>
        <v/>
      </c>
      <c r="I30">
        <f>Inputs!$B$14</f>
        <v/>
      </c>
    </row>
    <row r="31">
      <c r="A31" t="n">
        <v>2041</v>
      </c>
      <c r="B31" s="2">
        <f>F30</f>
        <v/>
      </c>
      <c r="C31" s="2">
        <f>$B$9*(1+Inputs!$B$4)^(A31-2026)</f>
        <v/>
      </c>
      <c r="D31" s="2">
        <f>Inputs!$B$13*B31</f>
        <v/>
      </c>
      <c r="E31" s="2">
        <f>IF(A31&lt;Inputs!$B$16,0,Inputs!$B$15*B31)</f>
        <v/>
      </c>
      <c r="F31" s="2">
        <f>B31+C31-D31-E31</f>
        <v/>
      </c>
      <c r="G31" s="8">
        <f>E31/C31</f>
        <v/>
      </c>
      <c r="H31" s="2">
        <f>E31*Inputs!$B$17/1e6</f>
        <v/>
      </c>
      <c r="I31">
        <f>Inputs!$B$14</f>
        <v/>
      </c>
    </row>
    <row r="32">
      <c r="A32" t="n">
        <v>2042</v>
      </c>
      <c r="B32" s="2">
        <f>F31</f>
        <v/>
      </c>
      <c r="C32" s="2">
        <f>$B$9*(1+Inputs!$B$4)^(A32-2026)</f>
        <v/>
      </c>
      <c r="D32" s="2">
        <f>Inputs!$B$13*B32</f>
        <v/>
      </c>
      <c r="E32" s="2">
        <f>IF(A32&lt;Inputs!$B$16,0,Inputs!$B$15*B32)</f>
        <v/>
      </c>
      <c r="F32" s="2">
        <f>B32+C32-D32-E32</f>
        <v/>
      </c>
      <c r="G32" s="8">
        <f>E32/C32</f>
        <v/>
      </c>
      <c r="H32" s="2">
        <f>E32*Inputs!$B$17/1e6</f>
        <v/>
      </c>
      <c r="I32">
        <f>Inputs!$B$14</f>
        <v/>
      </c>
    </row>
    <row r="33">
      <c r="A33" t="n">
        <v>2043</v>
      </c>
      <c r="B33" s="2">
        <f>F32</f>
        <v/>
      </c>
      <c r="C33" s="2">
        <f>$B$9*(1+Inputs!$B$4)^(A33-2026)</f>
        <v/>
      </c>
      <c r="D33" s="2">
        <f>Inputs!$B$13*B33</f>
        <v/>
      </c>
      <c r="E33" s="2">
        <f>IF(A33&lt;Inputs!$B$16,0,Inputs!$B$15*B33)</f>
        <v/>
      </c>
      <c r="F33" s="2">
        <f>B33+C33-D33-E33</f>
        <v/>
      </c>
      <c r="G33" s="8">
        <f>E33/C33</f>
        <v/>
      </c>
      <c r="H33" s="2">
        <f>E33*Inputs!$B$17/1e6</f>
        <v/>
      </c>
      <c r="I33">
        <f>Inputs!$B$14</f>
        <v/>
      </c>
    </row>
    <row r="34">
      <c r="A34" t="n">
        <v>2044</v>
      </c>
      <c r="B34" s="2">
        <f>F33</f>
        <v/>
      </c>
      <c r="C34" s="2">
        <f>$B$9*(1+Inputs!$B$4)^(A34-2026)</f>
        <v/>
      </c>
      <c r="D34" s="2">
        <f>Inputs!$B$13*B34</f>
        <v/>
      </c>
      <c r="E34" s="2">
        <f>IF(A34&lt;Inputs!$B$16,0,Inputs!$B$15*B34)</f>
        <v/>
      </c>
      <c r="F34" s="2">
        <f>B34+C34-D34-E34</f>
        <v/>
      </c>
      <c r="G34" s="8">
        <f>E34/C34</f>
        <v/>
      </c>
      <c r="H34" s="2">
        <f>E34*Inputs!$B$17/1e6</f>
        <v/>
      </c>
      <c r="I34">
        <f>Inputs!$B$14</f>
        <v/>
      </c>
    </row>
    <row r="35">
      <c r="A35" t="n">
        <v>2045</v>
      </c>
      <c r="B35" s="2">
        <f>F34</f>
        <v/>
      </c>
      <c r="C35" s="2">
        <f>$B$9*(1+Inputs!$B$4)^(A35-2026)</f>
        <v/>
      </c>
      <c r="D35" s="2">
        <f>Inputs!$B$13*B35</f>
        <v/>
      </c>
      <c r="E35" s="2">
        <f>IF(A35&lt;Inputs!$B$16,0,Inputs!$B$15*B35)</f>
        <v/>
      </c>
      <c r="F35" s="2">
        <f>B35+C35-D35-E35</f>
        <v/>
      </c>
      <c r="G35" s="8">
        <f>E35/C35</f>
        <v/>
      </c>
      <c r="H35" s="2">
        <f>E35*Inputs!$B$17/1e6</f>
        <v/>
      </c>
      <c r="I35">
        <f>Inputs!$B$14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2026-10-25T16:14:09Z</dcterms:created>
  <dcterms:modified xmlns:dcterms="http://purl.org/dc/terms/" xmlns:xsi="http://www.w3.org/2001/XMLSchema-instance" xsi:type="dcterms:W3CDTF">2026-10-25T16:14:09Z</dcterms:modified>
</cp:coreProperties>
</file>