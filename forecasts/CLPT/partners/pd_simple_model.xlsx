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#,##0,&quot;k&quot;"/>
    <numFmt numFmtId="167" formatCode="#,##0.0,&quot;k&quot;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3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pivotButton="0" quotePrefix="0" xfId="0"/>
    <xf numFmtId="164" fontId="0" fillId="3" borderId="0" pivotButton="0" quotePrefix="0" xfId="0"/>
    <xf numFmtId="9" fontId="0" fillId="3" borderId="0" pivotButton="0" quotePrefix="0" xfId="0"/>
    <xf numFmtId="2" fontId="0" fillId="0" borderId="0" pivotButton="0" quotePrefix="0" xfId="0"/>
    <xf numFmtId="1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US eligible pool for a one-time restorative PD therapy: class level, one scenario (base case for agreement)</t>
        </is>
      </c>
    </row>
    <row r="2">
      <c r="A2" s="2" t="inlineStr">
        <is>
          <t>1. Medically eligible = label-style criteria: levodopa-responsive PD, ≥4 years, any motor complication, no dementia, medically fit, no age cap.</t>
        </is>
      </c>
    </row>
    <row r="3">
      <c r="A3" s="2" t="inlineStr">
        <is>
          <t>2. Funnel: medically eligible &gt; referred &gt; willing &gt; covered &gt; treated. P = referral × willing × covered (judgment, anchored in pd_research_notes.md).</t>
        </is>
      </c>
    </row>
    <row r="4">
      <c r="A4" s="2" t="inlineStr">
        <is>
          <t>3. Pool at FY2026 start = eligible patients from the cohort model (screens on the Flow tab) less patients already treated with DBS.</t>
        </is>
      </c>
    </row>
    <row r="5">
      <c r="A5" s="2" t="inlineStr">
        <is>
          <t>4. Each year: Pool end = Pool start + Entrants − Leavers − Treated.</t>
        </is>
      </c>
    </row>
    <row r="6">
      <c r="A6" s="2" t="inlineStr">
        <is>
          <t>5. Entrants = newly eligible patients (cohort model), growing with the ageing population. Leavers = m × Pool start (death or dementia).</t>
        </is>
      </c>
    </row>
    <row r="7">
      <c r="A7" s="2" t="inlineStr">
        <is>
          <t>6. Before launch (FY2029) only DBS is treated (3,990 a year, held flat). From launch, Treated = u × Pool start.</t>
        </is>
      </c>
    </row>
    <row r="8">
      <c r="A8" s="2" t="inlineStr">
        <is>
          <t>7. u is set so that, once the backlog is used up, Treated = P × Entrants: u = P × (m + g) ÷ (1 − P), where g is entrant growth.</t>
        </is>
      </c>
    </row>
    <row r="9">
      <c r="A9" s="2" t="inlineStr">
        <is>
          <t>8. Treated = class demand. It is not split between therapies, and it is not limited by capacity or competition.</t>
        </is>
      </c>
    </row>
    <row r="10">
      <c r="A10" s="2" t="inlineStr">
        <is>
          <t>Yellow = input. Tags: A published, C calculated, S judgment (★), P instruction. Sources on the Inputs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7" customWidth="1" min="3" max="3"/>
    <col width="95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Tag</t>
        </is>
      </c>
      <c r="D1" s="3" t="inlineStr">
        <is>
          <t>Source / rationale</t>
        </is>
      </c>
      <c r="E1" s="1" t="inlineStr">
        <is>
          <t>Referral</t>
        </is>
      </c>
      <c r="F1" s="1" t="inlineStr">
        <is>
          <t>Willing</t>
        </is>
      </c>
      <c r="G1" s="1" t="inlineStr">
        <is>
          <t>Covered</t>
        </is>
      </c>
    </row>
    <row r="2">
      <c r="A2" t="inlineStr">
        <is>
          <t>PD prevalent, US, FY2026</t>
        </is>
      </c>
      <c r="B2" s="4" t="n">
        <v>923000</v>
      </c>
      <c r="C2" t="inlineStr">
        <is>
          <t>C</t>
        </is>
      </c>
      <c r="D2" s="5" t="inlineStr">
        <is>
          <t>Cohort model: 90k diagnoses/yr (Parkinson's Foundation), Hirsch incidence, SSA life table × 1.52 mortality ratio, Census 2024</t>
        </is>
      </c>
    </row>
    <row r="3">
      <c r="A3" t="inlineStr">
        <is>
          <t>Share alive without dementia and ≥4 yrs since diagnosis</t>
        </is>
      </c>
      <c r="B3" s="6" t="n">
        <v>0.376</v>
      </c>
      <c r="C3" t="inlineStr">
        <is>
          <t>C</t>
        </is>
      </c>
      <c r="D3" s="5" t="inlineStr">
        <is>
          <t>Cohort model; dementia CamPaIGN 46% at 10 yrs (≥65 at diagnosis), Sydney 48% at 15 yrs (&lt;65)</t>
        </is>
      </c>
    </row>
    <row r="4">
      <c r="A4" t="inlineStr">
        <is>
          <t>… of whom with motor complications</t>
        </is>
      </c>
      <c r="B4" s="6" t="n">
        <v>0.664</v>
      </c>
      <c r="C4" t="inlineStr">
        <is>
          <t>C</t>
        </is>
      </c>
      <c r="D4" s="5" t="inlineStr">
        <is>
          <t>Cohort model; Ahlskog 2001 (~40% by 4–6 yrs), Hely 2005 (~95% by 15 yrs)</t>
        </is>
      </c>
    </row>
    <row r="5">
      <c r="A5" t="inlineStr">
        <is>
          <t>Levodopa-responsive idiopathic PD</t>
        </is>
      </c>
      <c r="B5" s="6" t="n">
        <v>0.806</v>
      </c>
      <c r="C5" t="inlineStr">
        <is>
          <t>A</t>
        </is>
      </c>
      <c r="D5" s="5" t="inlineStr">
        <is>
          <t>Rizzo 2016, Neurology: diagnostic accuracy 80.6%</t>
        </is>
      </c>
    </row>
    <row r="6">
      <c r="A6" t="inlineStr">
        <is>
          <t>Medically fit for surgery</t>
        </is>
      </c>
      <c r="B6" s="6" t="n">
        <v>0.9</v>
      </c>
      <c r="C6" t="inlineStr">
        <is>
          <t>S ★</t>
        </is>
      </c>
      <c r="D6" s="5" t="inlineStr">
        <is>
          <t>Judgment, range 70–90%</t>
        </is>
      </c>
    </row>
    <row r="7">
      <c r="A7" t="inlineStr">
        <is>
          <t>Newly eligible patients (entrants), FY2026</t>
        </is>
      </c>
      <c r="B7" s="4" t="n">
        <v>25800</v>
      </c>
      <c r="C7" t="inlineStr">
        <is>
          <t>C</t>
        </is>
      </c>
      <c r="D7" s="5" t="inlineStr">
        <is>
          <t>Cohort model, same screens (21.6k in 2019)</t>
        </is>
      </c>
    </row>
    <row r="8">
      <c r="A8" t="inlineStr">
        <is>
          <t>Entrant growth per year (g)</t>
        </is>
      </c>
      <c r="B8" s="7" t="n">
        <v>0.026</v>
      </c>
      <c r="C8" t="inlineStr">
        <is>
          <t>C</t>
        </is>
      </c>
      <c r="D8" s="5" t="inlineStr">
        <is>
          <t>Census 2020–24, age-weighted PD incidence growth</t>
        </is>
      </c>
    </row>
    <row r="9">
      <c r="A9" t="inlineStr">
        <is>
          <t>Annual leave rate from the pool (m)</t>
        </is>
      </c>
      <c r="B9" s="8" t="n">
        <v>0.13</v>
      </c>
      <c r="C9" t="inlineStr">
        <is>
          <t>C</t>
        </is>
      </c>
      <c r="D9" s="5" t="inlineStr">
        <is>
          <t>Cohort model: (deaths + dementia onsets) ÷ pool start, FY2026 = 21.5k ÷ 162.8k</t>
        </is>
      </c>
    </row>
    <row r="10">
      <c r="A10" t="inlineStr">
        <is>
          <t>Referral × Willing × Covered</t>
        </is>
      </c>
      <c r="B10" s="9">
        <f>E10*F10*G10</f>
        <v/>
      </c>
      <c r="C10" t="inlineStr">
        <is>
          <t>S ★</t>
        </is>
      </c>
      <c r="D10" s="5" t="inlineStr">
        <is>
          <t>Referral 0.55 (30–80%: PARADISE, Olmsted); willing 0.60 (35–43% consent to referral, Dinkelbach 2017; 58.7% implanted after evaluation); covered 0.90 (Medicare covers label)</t>
        </is>
      </c>
      <c r="E10" s="6" t="n">
        <v>0.55</v>
      </c>
      <c r="F10" s="6" t="n">
        <v>0.6</v>
      </c>
      <c r="G10" s="6" t="n">
        <v>0.9</v>
      </c>
    </row>
    <row r="11">
      <c r="A11" t="inlineStr">
        <is>
          <t>DBS for PD per year (2019, held flat)</t>
        </is>
      </c>
      <c r="B11" s="4" t="n">
        <v>3990</v>
      </c>
      <c r="C11" t="inlineStr">
        <is>
          <t>A</t>
        </is>
      </c>
      <c r="D11" s="5" t="inlineStr">
        <is>
          <t>Venkatraman 2024, NIS 2019, inpatient, all ages</t>
        </is>
      </c>
    </row>
    <row r="12">
      <c r="A12" t="inlineStr">
        <is>
          <t>Launch of first one-time therapy</t>
        </is>
      </c>
      <c r="B12" s="10" t="n">
        <v>2029</v>
      </c>
      <c r="C12" t="inlineStr">
        <is>
          <t>S ★</t>
        </is>
      </c>
      <c r="D12" s="5" t="inlineStr">
        <is>
          <t>Judgment</t>
        </is>
      </c>
    </row>
    <row r="13">
      <c r="A13" t="inlineStr">
        <is>
          <t>Revenue per patient (illustration)</t>
        </is>
      </c>
      <c r="B13" s="11" t="n">
        <v>20000</v>
      </c>
      <c r="C13" t="inlineStr">
        <is>
          <t>P</t>
        </is>
      </c>
      <c r="D13" s="5" t="inlineStr">
        <is>
          <t>David May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Starting pool, FY2026 (label-style screens)</t>
        </is>
      </c>
    </row>
    <row r="2">
      <c r="A2" t="inlineStr">
        <is>
          <t>PD prevalent</t>
        </is>
      </c>
      <c r="B2" s="12">
        <f>Inputs!$B$2</f>
        <v/>
      </c>
    </row>
    <row r="3">
      <c r="A3" t="inlineStr">
        <is>
          <t>× alive, no dementia, ≥4 yrs</t>
        </is>
      </c>
      <c r="B3" s="12">
        <f>B2*Inputs!$B$3</f>
        <v/>
      </c>
    </row>
    <row r="4">
      <c r="A4" t="inlineStr">
        <is>
          <t>× with motor complications</t>
        </is>
      </c>
      <c r="B4" s="12">
        <f>B3*Inputs!$B$4</f>
        <v/>
      </c>
    </row>
    <row r="5">
      <c r="A5" t="inlineStr">
        <is>
          <t>× levodopa-responsive</t>
        </is>
      </c>
      <c r="B5" s="12">
        <f>B4*Inputs!$B$5</f>
        <v/>
      </c>
    </row>
    <row r="6">
      <c r="A6" t="inlineStr">
        <is>
          <t>× medically fit = medically eligible</t>
        </is>
      </c>
      <c r="B6" s="12">
        <f>B5*Inputs!$B$6</f>
        <v/>
      </c>
    </row>
    <row r="7">
      <c r="A7" t="inlineStr">
        <is>
          <t>− previously DBS-treated still in pool (DBS ÷ m) ★</t>
        </is>
      </c>
      <c r="B7" s="12">
        <f>-Inputs!$B$11/Inputs!$B$9</f>
        <v/>
      </c>
    </row>
    <row r="8">
      <c r="A8" s="1">
        <f> Untreated eligible pool, start FY2026</f>
        <v/>
      </c>
      <c r="B8" s="13">
        <f>B6+B7</f>
        <v/>
      </c>
    </row>
    <row r="10">
      <c r="A10" s="1" t="inlineStr">
        <is>
          <t>Derived</t>
        </is>
      </c>
    </row>
    <row r="11">
      <c r="A11" t="inlineStr">
        <is>
          <t>P = referral × willing × covered</t>
        </is>
      </c>
      <c r="B11" s="9">
        <f>Inputs!$B$10</f>
        <v/>
      </c>
    </row>
    <row r="12">
      <c r="A12" t="inlineStr">
        <is>
          <t>u = P × (m + g) ÷ (1 − P), yearly share of the pool treated</t>
        </is>
      </c>
      <c r="B12" s="14">
        <f>B11*(Inputs!$B$9+Inputs!$B$8)/(1-B11)</f>
        <v/>
      </c>
    </row>
    <row r="13">
      <c r="A13" t="inlineStr">
        <is>
          <t>Sanity check: DBS-implied P = DBS ÷ entrants (2019: 3,990 ÷ 21.6k)</t>
        </is>
      </c>
      <c r="B13" s="9">
        <f>Inputs!$B$11/21600.0</f>
        <v/>
      </c>
    </row>
    <row r="15">
      <c r="A15" s="1" t="inlineStr">
        <is>
          <t>Yearly flow (patients)</t>
        </is>
      </c>
    </row>
    <row r="16">
      <c r="A16" s="15" t="inlineStr">
        <is>
          <t>FY</t>
        </is>
      </c>
      <c r="B16" s="15" t="inlineStr">
        <is>
          <t>Pool start</t>
        </is>
      </c>
      <c r="C16" s="15" t="inlineStr">
        <is>
          <t>Entrants</t>
        </is>
      </c>
      <c r="D16" s="15" t="inlineStr">
        <is>
          <t>Leavers</t>
        </is>
      </c>
      <c r="E16" s="15" t="inlineStr">
        <is>
          <t>Treated</t>
        </is>
      </c>
      <c r="F16" s="15" t="inlineStr">
        <is>
          <t>Pool end</t>
        </is>
      </c>
      <c r="G16" s="15" t="inlineStr">
        <is>
          <t>Treated ÷ Entrants</t>
        </is>
      </c>
      <c r="H16" s="15" t="inlineStr">
        <is>
          <t>Revenue at $20k ($M)</t>
        </is>
      </c>
    </row>
    <row r="17">
      <c r="A17" t="n">
        <v>2026</v>
      </c>
      <c r="B17" s="16">
        <f>B8</f>
        <v/>
      </c>
      <c r="C17" s="16">
        <f>Inputs!$B$7*(1+Inputs!$B$8)^(A17-2026)</f>
        <v/>
      </c>
      <c r="D17" s="16">
        <f>Inputs!$B$9*B17</f>
        <v/>
      </c>
      <c r="E17" s="16">
        <f>IF(A17&lt;Inputs!$B$12,Inputs!$B$11,$B$12*B17)</f>
        <v/>
      </c>
      <c r="F17" s="16">
        <f>B17+C17-D17-E17</f>
        <v/>
      </c>
      <c r="G17" s="9">
        <f>E17/C17</f>
        <v/>
      </c>
      <c r="H17" s="17">
        <f>E17*Inputs!$B$13/1e6</f>
        <v/>
      </c>
    </row>
    <row r="18">
      <c r="A18" t="n">
        <v>2027</v>
      </c>
      <c r="B18" s="16">
        <f>F17</f>
        <v/>
      </c>
      <c r="C18" s="16">
        <f>Inputs!$B$7*(1+Inputs!$B$8)^(A18-2026)</f>
        <v/>
      </c>
      <c r="D18" s="16">
        <f>Inputs!$B$9*B18</f>
        <v/>
      </c>
      <c r="E18" s="16">
        <f>IF(A18&lt;Inputs!$B$12,Inputs!$B$11,$B$12*B18)</f>
        <v/>
      </c>
      <c r="F18" s="16">
        <f>B18+C18-D18-E18</f>
        <v/>
      </c>
      <c r="G18" s="9">
        <f>E18/C18</f>
        <v/>
      </c>
      <c r="H18" s="17">
        <f>E18*Inputs!$B$13/1e6</f>
        <v/>
      </c>
    </row>
    <row r="19">
      <c r="A19" t="n">
        <v>2028</v>
      </c>
      <c r="B19" s="16">
        <f>F18</f>
        <v/>
      </c>
      <c r="C19" s="16">
        <f>Inputs!$B$7*(1+Inputs!$B$8)^(A19-2026)</f>
        <v/>
      </c>
      <c r="D19" s="16">
        <f>Inputs!$B$9*B19</f>
        <v/>
      </c>
      <c r="E19" s="16">
        <f>IF(A19&lt;Inputs!$B$12,Inputs!$B$11,$B$12*B19)</f>
        <v/>
      </c>
      <c r="F19" s="16">
        <f>B19+C19-D19-E19</f>
        <v/>
      </c>
      <c r="G19" s="9">
        <f>E19/C19</f>
        <v/>
      </c>
      <c r="H19" s="17">
        <f>E19*Inputs!$B$13/1e6</f>
        <v/>
      </c>
    </row>
    <row r="20">
      <c r="A20" t="n">
        <v>2029</v>
      </c>
      <c r="B20" s="16">
        <f>F19</f>
        <v/>
      </c>
      <c r="C20" s="16">
        <f>Inputs!$B$7*(1+Inputs!$B$8)^(A20-2026)</f>
        <v/>
      </c>
      <c r="D20" s="16">
        <f>Inputs!$B$9*B20</f>
        <v/>
      </c>
      <c r="E20" s="16">
        <f>IF(A20&lt;Inputs!$B$12,Inputs!$B$11,$B$12*B20)</f>
        <v/>
      </c>
      <c r="F20" s="16">
        <f>B20+C20-D20-E20</f>
        <v/>
      </c>
      <c r="G20" s="9">
        <f>E20/C20</f>
        <v/>
      </c>
      <c r="H20" s="17">
        <f>E20*Inputs!$B$13/1e6</f>
        <v/>
      </c>
    </row>
    <row r="21">
      <c r="A21" t="n">
        <v>2030</v>
      </c>
      <c r="B21" s="16">
        <f>F20</f>
        <v/>
      </c>
      <c r="C21" s="16">
        <f>Inputs!$B$7*(1+Inputs!$B$8)^(A21-2026)</f>
        <v/>
      </c>
      <c r="D21" s="16">
        <f>Inputs!$B$9*B21</f>
        <v/>
      </c>
      <c r="E21" s="16">
        <f>IF(A21&lt;Inputs!$B$12,Inputs!$B$11,$B$12*B21)</f>
        <v/>
      </c>
      <c r="F21" s="16">
        <f>B21+C21-D21-E21</f>
        <v/>
      </c>
      <c r="G21" s="9">
        <f>E21/C21</f>
        <v/>
      </c>
      <c r="H21" s="17">
        <f>E21*Inputs!$B$13/1e6</f>
        <v/>
      </c>
    </row>
    <row r="22">
      <c r="A22" t="n">
        <v>2031</v>
      </c>
      <c r="B22" s="16">
        <f>F21</f>
        <v/>
      </c>
      <c r="C22" s="16">
        <f>Inputs!$B$7*(1+Inputs!$B$8)^(A22-2026)</f>
        <v/>
      </c>
      <c r="D22" s="16">
        <f>Inputs!$B$9*B22</f>
        <v/>
      </c>
      <c r="E22" s="16">
        <f>IF(A22&lt;Inputs!$B$12,Inputs!$B$11,$B$12*B22)</f>
        <v/>
      </c>
      <c r="F22" s="16">
        <f>B22+C22-D22-E22</f>
        <v/>
      </c>
      <c r="G22" s="9">
        <f>E22/C22</f>
        <v/>
      </c>
      <c r="H22" s="17">
        <f>E22*Inputs!$B$13/1e6</f>
        <v/>
      </c>
    </row>
    <row r="23">
      <c r="A23" t="n">
        <v>2032</v>
      </c>
      <c r="B23" s="16">
        <f>F22</f>
        <v/>
      </c>
      <c r="C23" s="16">
        <f>Inputs!$B$7*(1+Inputs!$B$8)^(A23-2026)</f>
        <v/>
      </c>
      <c r="D23" s="16">
        <f>Inputs!$B$9*B23</f>
        <v/>
      </c>
      <c r="E23" s="16">
        <f>IF(A23&lt;Inputs!$B$12,Inputs!$B$11,$B$12*B23)</f>
        <v/>
      </c>
      <c r="F23" s="16">
        <f>B23+C23-D23-E23</f>
        <v/>
      </c>
      <c r="G23" s="9">
        <f>E23/C23</f>
        <v/>
      </c>
      <c r="H23" s="17">
        <f>E23*Inputs!$B$13/1e6</f>
        <v/>
      </c>
    </row>
    <row r="24">
      <c r="A24" t="n">
        <v>2033</v>
      </c>
      <c r="B24" s="16">
        <f>F23</f>
        <v/>
      </c>
      <c r="C24" s="16">
        <f>Inputs!$B$7*(1+Inputs!$B$8)^(A24-2026)</f>
        <v/>
      </c>
      <c r="D24" s="16">
        <f>Inputs!$B$9*B24</f>
        <v/>
      </c>
      <c r="E24" s="16">
        <f>IF(A24&lt;Inputs!$B$12,Inputs!$B$11,$B$12*B24)</f>
        <v/>
      </c>
      <c r="F24" s="16">
        <f>B24+C24-D24-E24</f>
        <v/>
      </c>
      <c r="G24" s="9">
        <f>E24/C24</f>
        <v/>
      </c>
      <c r="H24" s="17">
        <f>E24*Inputs!$B$13/1e6</f>
        <v/>
      </c>
    </row>
    <row r="25">
      <c r="A25" t="n">
        <v>2034</v>
      </c>
      <c r="B25" s="16">
        <f>F24</f>
        <v/>
      </c>
      <c r="C25" s="16">
        <f>Inputs!$B$7*(1+Inputs!$B$8)^(A25-2026)</f>
        <v/>
      </c>
      <c r="D25" s="16">
        <f>Inputs!$B$9*B25</f>
        <v/>
      </c>
      <c r="E25" s="16">
        <f>IF(A25&lt;Inputs!$B$12,Inputs!$B$11,$B$12*B25)</f>
        <v/>
      </c>
      <c r="F25" s="16">
        <f>B25+C25-D25-E25</f>
        <v/>
      </c>
      <c r="G25" s="9">
        <f>E25/C25</f>
        <v/>
      </c>
      <c r="H25" s="17">
        <f>E25*Inputs!$B$13/1e6</f>
        <v/>
      </c>
    </row>
    <row r="26">
      <c r="A26" t="n">
        <v>2035</v>
      </c>
      <c r="B26" s="16">
        <f>F25</f>
        <v/>
      </c>
      <c r="C26" s="16">
        <f>Inputs!$B$7*(1+Inputs!$B$8)^(A26-2026)</f>
        <v/>
      </c>
      <c r="D26" s="16">
        <f>Inputs!$B$9*B26</f>
        <v/>
      </c>
      <c r="E26" s="16">
        <f>IF(A26&lt;Inputs!$B$12,Inputs!$B$11,$B$12*B26)</f>
        <v/>
      </c>
      <c r="F26" s="16">
        <f>B26+C26-D26-E26</f>
        <v/>
      </c>
      <c r="G26" s="9">
        <f>E26/C26</f>
        <v/>
      </c>
      <c r="H26" s="17">
        <f>E26*Inputs!$B$13/1e6</f>
        <v/>
      </c>
    </row>
    <row r="27">
      <c r="A27" t="n">
        <v>2036</v>
      </c>
      <c r="B27" s="16">
        <f>F26</f>
        <v/>
      </c>
      <c r="C27" s="16">
        <f>Inputs!$B$7*(1+Inputs!$B$8)^(A27-2026)</f>
        <v/>
      </c>
      <c r="D27" s="16">
        <f>Inputs!$B$9*B27</f>
        <v/>
      </c>
      <c r="E27" s="16">
        <f>IF(A27&lt;Inputs!$B$12,Inputs!$B$11,$B$12*B27)</f>
        <v/>
      </c>
      <c r="F27" s="16">
        <f>B27+C27-D27-E27</f>
        <v/>
      </c>
      <c r="G27" s="9">
        <f>E27/C27</f>
        <v/>
      </c>
      <c r="H27" s="17">
        <f>E27*Inputs!$B$13/1e6</f>
        <v/>
      </c>
    </row>
    <row r="28">
      <c r="A28" t="n">
        <v>2037</v>
      </c>
      <c r="B28" s="16">
        <f>F27</f>
        <v/>
      </c>
      <c r="C28" s="16">
        <f>Inputs!$B$7*(1+Inputs!$B$8)^(A28-2026)</f>
        <v/>
      </c>
      <c r="D28" s="16">
        <f>Inputs!$B$9*B28</f>
        <v/>
      </c>
      <c r="E28" s="16">
        <f>IF(A28&lt;Inputs!$B$12,Inputs!$B$11,$B$12*B28)</f>
        <v/>
      </c>
      <c r="F28" s="16">
        <f>B28+C28-D28-E28</f>
        <v/>
      </c>
      <c r="G28" s="9">
        <f>E28/C28</f>
        <v/>
      </c>
      <c r="H28" s="17">
        <f>E28*Inputs!$B$13/1e6</f>
        <v/>
      </c>
    </row>
    <row r="29">
      <c r="A29" t="n">
        <v>2038</v>
      </c>
      <c r="B29" s="16">
        <f>F28</f>
        <v/>
      </c>
      <c r="C29" s="16">
        <f>Inputs!$B$7*(1+Inputs!$B$8)^(A29-2026)</f>
        <v/>
      </c>
      <c r="D29" s="16">
        <f>Inputs!$B$9*B29</f>
        <v/>
      </c>
      <c r="E29" s="16">
        <f>IF(A29&lt;Inputs!$B$12,Inputs!$B$11,$B$12*B29)</f>
        <v/>
      </c>
      <c r="F29" s="16">
        <f>B29+C29-D29-E29</f>
        <v/>
      </c>
      <c r="G29" s="9">
        <f>E29/C29</f>
        <v/>
      </c>
      <c r="H29" s="17">
        <f>E29*Inputs!$B$13/1e6</f>
        <v/>
      </c>
    </row>
    <row r="30">
      <c r="A30" t="n">
        <v>2039</v>
      </c>
      <c r="B30" s="16">
        <f>F29</f>
        <v/>
      </c>
      <c r="C30" s="16">
        <f>Inputs!$B$7*(1+Inputs!$B$8)^(A30-2026)</f>
        <v/>
      </c>
      <c r="D30" s="16">
        <f>Inputs!$B$9*B30</f>
        <v/>
      </c>
      <c r="E30" s="16">
        <f>IF(A30&lt;Inputs!$B$12,Inputs!$B$11,$B$12*B30)</f>
        <v/>
      </c>
      <c r="F30" s="16">
        <f>B30+C30-D30-E30</f>
        <v/>
      </c>
      <c r="G30" s="9">
        <f>E30/C30</f>
        <v/>
      </c>
      <c r="H30" s="17">
        <f>E30*Inputs!$B$13/1e6</f>
        <v/>
      </c>
    </row>
    <row r="31">
      <c r="A31" t="n">
        <v>2040</v>
      </c>
      <c r="B31" s="16">
        <f>F30</f>
        <v/>
      </c>
      <c r="C31" s="16">
        <f>Inputs!$B$7*(1+Inputs!$B$8)^(A31-2026)</f>
        <v/>
      </c>
      <c r="D31" s="16">
        <f>Inputs!$B$9*B31</f>
        <v/>
      </c>
      <c r="E31" s="16">
        <f>IF(A31&lt;Inputs!$B$12,Inputs!$B$11,$B$12*B31)</f>
        <v/>
      </c>
      <c r="F31" s="16">
        <f>B31+C31-D31-E31</f>
        <v/>
      </c>
      <c r="G31" s="9">
        <f>E31/C31</f>
        <v/>
      </c>
      <c r="H31" s="17">
        <f>E31*Inputs!$B$13/1e6</f>
        <v/>
      </c>
    </row>
    <row r="32">
      <c r="A32" t="n">
        <v>2041</v>
      </c>
      <c r="B32" s="16">
        <f>F31</f>
        <v/>
      </c>
      <c r="C32" s="16">
        <f>Inputs!$B$7*(1+Inputs!$B$8)^(A32-2026)</f>
        <v/>
      </c>
      <c r="D32" s="16">
        <f>Inputs!$B$9*B32</f>
        <v/>
      </c>
      <c r="E32" s="16">
        <f>IF(A32&lt;Inputs!$B$12,Inputs!$B$11,$B$12*B32)</f>
        <v/>
      </c>
      <c r="F32" s="16">
        <f>B32+C32-D32-E32</f>
        <v/>
      </c>
      <c r="G32" s="9">
        <f>E32/C32</f>
        <v/>
      </c>
      <c r="H32" s="17">
        <f>E32*Inputs!$B$13/1e6</f>
        <v/>
      </c>
    </row>
    <row r="33">
      <c r="A33" t="n">
        <v>2042</v>
      </c>
      <c r="B33" s="16">
        <f>F32</f>
        <v/>
      </c>
      <c r="C33" s="16">
        <f>Inputs!$B$7*(1+Inputs!$B$8)^(A33-2026)</f>
        <v/>
      </c>
      <c r="D33" s="16">
        <f>Inputs!$B$9*B33</f>
        <v/>
      </c>
      <c r="E33" s="16">
        <f>IF(A33&lt;Inputs!$B$12,Inputs!$B$11,$B$12*B33)</f>
        <v/>
      </c>
      <c r="F33" s="16">
        <f>B33+C33-D33-E33</f>
        <v/>
      </c>
      <c r="G33" s="9">
        <f>E33/C33</f>
        <v/>
      </c>
      <c r="H33" s="17">
        <f>E33*Inputs!$B$13/1e6</f>
        <v/>
      </c>
    </row>
    <row r="34">
      <c r="A34" t="n">
        <v>2043</v>
      </c>
      <c r="B34" s="16">
        <f>F33</f>
        <v/>
      </c>
      <c r="C34" s="16">
        <f>Inputs!$B$7*(1+Inputs!$B$8)^(A34-2026)</f>
        <v/>
      </c>
      <c r="D34" s="16">
        <f>Inputs!$B$9*B34</f>
        <v/>
      </c>
      <c r="E34" s="16">
        <f>IF(A34&lt;Inputs!$B$12,Inputs!$B$11,$B$12*B34)</f>
        <v/>
      </c>
      <c r="F34" s="16">
        <f>B34+C34-D34-E34</f>
        <v/>
      </c>
      <c r="G34" s="9">
        <f>E34/C34</f>
        <v/>
      </c>
      <c r="H34" s="17">
        <f>E34*Inputs!$B$13/1e6</f>
        <v/>
      </c>
    </row>
    <row r="35">
      <c r="A35" t="n">
        <v>2044</v>
      </c>
      <c r="B35" s="16">
        <f>F34</f>
        <v/>
      </c>
      <c r="C35" s="16">
        <f>Inputs!$B$7*(1+Inputs!$B$8)^(A35-2026)</f>
        <v/>
      </c>
      <c r="D35" s="16">
        <f>Inputs!$B$9*B35</f>
        <v/>
      </c>
      <c r="E35" s="16">
        <f>IF(A35&lt;Inputs!$B$12,Inputs!$B$11,$B$12*B35)</f>
        <v/>
      </c>
      <c r="F35" s="16">
        <f>B35+C35-D35-E35</f>
        <v/>
      </c>
      <c r="G35" s="9">
        <f>E35/C35</f>
        <v/>
      </c>
      <c r="H35" s="17">
        <f>E35*Inputs!$B$13/1e6</f>
        <v/>
      </c>
    </row>
    <row r="36">
      <c r="A36" t="n">
        <v>2045</v>
      </c>
      <c r="B36" s="16">
        <f>F35</f>
        <v/>
      </c>
      <c r="C36" s="16">
        <f>Inputs!$B$7*(1+Inputs!$B$8)^(A36-2026)</f>
        <v/>
      </c>
      <c r="D36" s="16">
        <f>Inputs!$B$9*B36</f>
        <v/>
      </c>
      <c r="E36" s="16">
        <f>IF(A36&lt;Inputs!$B$12,Inputs!$B$11,$B$12*B36)</f>
        <v/>
      </c>
      <c r="F36" s="16">
        <f>B36+C36-D36-E36</f>
        <v/>
      </c>
      <c r="G36" s="9">
        <f>E36/C36</f>
        <v/>
      </c>
      <c r="H36" s="17">
        <f>E36*Inputs!$B$13/1e6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2026-10-24T22:31:32Z</dcterms:created>
  <dcterms:modified xmlns:dcterms="http://purl.org/dc/terms/" xmlns:xsi="http://www.w3.org/2001/XMLSchema-instance" xsi:type="dcterms:W3CDTF">2026-10-24T22:31:32Z</dcterms:modified>
</cp:coreProperties>
</file>